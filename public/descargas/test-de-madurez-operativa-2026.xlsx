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Test" sheetId="2" state="visible" r:id="rId4"/>
    <sheet name="Resultado" sheetId="3" state="visible" r:id="rId5"/>
    <sheet name="Comparar equipo" sheetId="4" state="visible" r:id="rId6"/>
    <sheet name="Metodología" sheetId="5" state="visible" r:id="rId7"/>
    <sheet name="Config" sheetId="6" state="hidden"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<sst xmlns="http://schemas.openxmlformats.org/spreadsheetml/2006/main" count="328" uniqueCount="245">
  <si>
    <t xml:space="preserve">PROCESOS CLAROS  ·  Test de madurez operativa</t>
  </si>
  <si>
    <t xml:space="preserve">¿Tu empresa está lista para un sistema?</t>
  </si>
  <si>
    <t xml:space="preserve">20 preguntas · 5 áreas · 15 minutos. Antes de implementar un ERP, ordena tu negocio.</t>
  </si>
  <si>
    <t xml:space="preserve">Metodología basada en el formato del Systemization Snapshot de ProcessDriven y en su 2025 Small Business Operations Report (4.740 equipos de 158 países), complementada con Churchill y Lewis (Harvard Business Review) y COMPITE para la preparación para un ERP.</t>
  </si>
  <si>
    <t xml:space="preserve">Cómo funciona</t>
  </si>
  <si>
    <t xml:space="preserve">1.  Ve a la hoja «Test» y completa los datos de tu empresa.</t>
  </si>
  <si>
    <t xml:space="preserve">2.  Cada pregunta tiene 4 respuestas que describen situaciones concretas, de la menos a la más ordenada. Elige en la celda amarilla la que describe cómo funciona HOY tu empresa, no cómo debería funcionar.</t>
  </si>
  <si>
    <t xml:space="preserve">3.  Si dos respuestas relacionadas no calzan, verás un comentario en la columna «Mirada sistémica». Revísalo con calma: puedes mantener o cambiar tu respuesta.</t>
  </si>
  <si>
    <t xml:space="preserve">4.  Mira la hoja «Resultado»: puntaje por área, gráfico, veredicto, por dónde empezar y cómo te comparas con otras pymes.</t>
  </si>
  <si>
    <t xml:space="preserve">Ejemplo</t>
  </si>
  <si>
    <t xml:space="preserve">«Si la persona más irreemplazable falta un mes sin aviso, la operación…»  Si sabes que se harían los despachos pero nadie podría facturar ni cobrar, la respuesta honesta es «Tendría problemas serios».</t>
  </si>
  <si>
    <t xml:space="preserve">Preguntas críticas ★</t>
  </si>
  <si>
    <t xml:space="preserve">Cuatro preguntas marcadas con ★ son condiciones mínimas para un ERP: el recorrido del pedido, los responsables, la fuente única de datos y las reglas para excepciones. Si alguna queda en 0, el veredicto no puede ser «Lista».</t>
  </si>
  <si>
    <t xml:space="preserve">Hazlo en equipo y repítelo</t>
  </si>
  <si>
    <t xml:space="preserve">Pide a dos o tres personas de tu operación que respondan por separado y anota sus respuestas en la hoja «Comparar equipo». Las diferencias entre respuestas son, en sí mismas, un hallazgo.</t>
  </si>
  <si>
    <t xml:space="preserve">Repite el test cada 6 meses y guarda una copia: la mejor comparación es contra tu propia empresa.</t>
  </si>
  <si>
    <t xml:space="preserve">Leyenda</t>
  </si>
  <si>
    <t xml:space="preserve">Celdas amarillas = las completas tú.  Todo lo demás se calcula solo.</t>
  </si>
  <si>
    <t xml:space="preserve">Jorge Rivera · jorge@procesosclaros.cl · www.procesosclaros.cl</t>
  </si>
  <si>
    <t xml:space="preserve">Test de madurez operativa</t>
  </si>
  <si>
    <t xml:space="preserve">Elige en cada celda amarilla la respuesta que describe cómo funciona HOY tu empresa. ★ = pregunta crítica para un ERP. Si dos respuestas relacionadas no calzan, verás un comentario en «Mirada sistémica».</t>
  </si>
  <si>
    <t xml:space="preserve">Empresa</t>
  </si>
  <si>
    <t xml:space="preserve">Quién responde (cargo)</t>
  </si>
  <si>
    <t xml:space="preserve">Rubro</t>
  </si>
  <si>
    <t xml:space="preserve">N° de personas</t>
  </si>
  <si>
    <t xml:space="preserve">Fecha</t>
  </si>
  <si>
    <t xml:space="preserve">N°</t>
  </si>
  <si>
    <t xml:space="preserve">Área</t>
  </si>
  <si>
    <t xml:space="preserve">Pregunta</t>
  </si>
  <si>
    <t xml:space="preserve">Tu respuesta</t>
  </si>
  <si>
    <t xml:space="preserve">Pts</t>
  </si>
  <si>
    <t xml:space="preserve">Mirada sistémica</t>
  </si>
  <si>
    <t xml:space="preserve">1. FLUJO Y RESPONSABLES  —  Quién hace qué, cuándo y cómo, desde que entra un cliente hasta que cobras.</t>
  </si>
  <si>
    <t xml:space="preserve">Flujo y responsables</t>
  </si>
  <si>
    <t xml:space="preserve">¿Está claro el recorrido completo de un pedido, desde que llega el cliente hasta que cobramos?  ★</t>
  </si>
  <si>
    <t xml:space="preserve">¿Cómo están definidas las responsabilidades en las etapas clave (ventas, compras, bodega, facturación, cobranza)?  ★</t>
  </si>
  <si>
    <t xml:space="preserve">¿Cómo se controlan las tareas que se repiten (cierres, conciliaciones, pedidos a proveedores, inventarios)?</t>
  </si>
  <si>
    <t xml:space="preserve">¿Cómo sabes en qué etapa está un pedido o trabajo en este momento?</t>
  </si>
  <si>
    <t xml:space="preserve">2. DATOS  —  Si la información existe una sola vez, es confiable, está en un lugar oficial y las herramientas se usan de verdad.</t>
  </si>
  <si>
    <t xml:space="preserve">Datos</t>
  </si>
  <si>
    <t xml:space="preserve">¿Dónde está la información oficial de clientes, productos y precios?  ★</t>
  </si>
  <si>
    <t xml:space="preserve">¿El stock registrado coincide con lo que hay en bodega? (Si no manejas stock, piensa en insumos o en horas vendidas vs. registradas.)</t>
  </si>
  <si>
    <t xml:space="preserve">¿Cuántas veces se digita un mismo dato (un pedido, una factura, un cliente)?</t>
  </si>
  <si>
    <t xml:space="preserve">Las herramientas que ya usan (software o planillas compartidas), ¿cómo se usan?</t>
  </si>
  <si>
    <t xml:space="preserve">3. EXCEPCIONES Y CONTROL  —  Qué pasa cuando algo sale mal, cada cuánto pasa, y si los errores se previenen.</t>
  </si>
  <si>
    <t xml:space="preserve">Excepciones y control</t>
  </si>
  <si>
    <t xml:space="preserve">Ante situaciones típicas (devolución, quiebre de stock, pedido urgente, error de factura), ¿qué pasa?  ★</t>
  </si>
  <si>
    <t xml:space="preserve">¿Con qué frecuencia un error, un problema o un pedido inusual desarma la planificación del día?</t>
  </si>
  <si>
    <t xml:space="preserve">Cuando ocurre un error, normalmente…</t>
  </si>
  <si>
    <t xml:space="preserve">¿Hay límites y aprobaciones claras (descuentos, compras, crédito a clientes)?</t>
  </si>
  <si>
    <t xml:space="preserve">4. RECURSOS Y MEDICIÓN  —  Dónde se van el tiempo y el dinero: márgenes, caja, indicadores y tiempo para mejorar.</t>
  </si>
  <si>
    <t xml:space="preserve">Recursos y medición</t>
  </si>
  <si>
    <t xml:space="preserve">¿Conocen el margen real por producto, servicio o línea de negocio?</t>
  </si>
  <si>
    <t xml:space="preserve">¿Cómo manejan la caja?</t>
  </si>
  <si>
    <t xml:space="preserve">¿Qué indicadores de la operación miden?</t>
  </si>
  <si>
    <t xml:space="preserve">¿En qué se va la mayor parte del tiempo del equipo?</t>
  </si>
  <si>
    <t xml:space="preserve">5. DOCUMENTACIÓN Y EQUIPO  —  Si la operación funciona sin depender de una persona y el equipo participa en el cambio.</t>
  </si>
  <si>
    <t xml:space="preserve">Documentación y equipo</t>
  </si>
  <si>
    <t xml:space="preserve">¿Dónde están descritos los procesos clave (instructivos, procedimientos)?</t>
  </si>
  <si>
    <t xml:space="preserve">Si la persona más irreemplazable falta un mes sin aviso, la operación…</t>
  </si>
  <si>
    <t xml:space="preserve">¿Quién toma las decisiones del día a día?</t>
  </si>
  <si>
    <t xml:space="preserve">¿Cómo participa el equipo en mejorar la forma de trabajar?</t>
  </si>
  <si>
    <t xml:space="preserve">Preguntas respondidas</t>
  </si>
  <si>
    <t xml:space="preserve">Puntaje total (máx. 60)</t>
  </si>
  <si>
    <t xml:space="preserve">Sobre «Mirada sistémica»: en una empresa todo está conectado, así que algunas respuestas dependen de otras. Cuando dos respuestas relacionadas parecen no calzar, aparece un comentario. No es un error ni cambia tu puntaje: es una invitación a mirar ambas preguntas juntas. Si tu respuesta refleja la realidad, mantenla.</t>
  </si>
  <si>
    <t xml:space="preserve">Tu resultado</t>
  </si>
  <si>
    <t xml:space="preserve">Puntaje</t>
  </si>
  <si>
    <t xml:space="preserve">% madurez</t>
  </si>
  <si>
    <t xml:space="preserve">Qué mide</t>
  </si>
  <si>
    <t xml:space="preserve">Quién hace qué, cuándo y cómo, desde que entra un cliente hasta que cobras.</t>
  </si>
  <si>
    <t xml:space="preserve">Si la información existe una sola vez, es confiable, está en un lugar oficial y las herramientas se usan de verdad.</t>
  </si>
  <si>
    <t xml:space="preserve">Qué pasa cuando algo sale mal, cada cuánto pasa, y si los errores se previenen.</t>
  </si>
  <si>
    <t xml:space="preserve">Dónde se van el tiempo y el dinero: márgenes, caja, indicadores y tiempo para mejorar.</t>
  </si>
  <si>
    <t xml:space="preserve">Si la operación funciona sin depender de una persona y el equipo participa en el cambio.</t>
  </si>
  <si>
    <t xml:space="preserve">TOTAL</t>
  </si>
  <si>
    <t xml:space="preserve">VEREDICTO</t>
  </si>
  <si>
    <t xml:space="preserve">POR DÓNDE EMPEZAR</t>
  </si>
  <si>
    <t xml:space="preserve">Área débil n° 1 · primera acción →</t>
  </si>
  <si>
    <t xml:space="preserve">Área débil n° 2 · primera acción →</t>
  </si>
  <si>
    <t xml:space="preserve">CÓMO TE COMPARAS CON OTRAS PYMES</t>
  </si>
  <si>
    <t xml:space="preserve">Tema</t>
  </si>
  <si>
    <t xml:space="preserve">Tu nivel</t>
  </si>
  <si>
    <t xml:space="preserve">Cómo responden otras pymes (ProcessDriven, 2025)</t>
  </si>
  <si>
    <t xml:space="preserve">2. Responsabilidades</t>
  </si>
  <si>
    <t xml:space="preserve">Solo 24,8% de los equipos tiene sus responsabilidades por escrito; 24,4% opera con «cada persona es responsable de todo».</t>
  </si>
  <si>
    <t xml:space="preserve">3. Tareas rutinarias</t>
  </si>
  <si>
    <t xml:space="preserve">Solo 21,1% registra sus tareas rutinarias; 78,9% las lleva de memoria.</t>
  </si>
  <si>
    <t xml:space="preserve">4. Visibilidad del trabajo</t>
  </si>
  <si>
    <t xml:space="preserve">50,4% solo lo sabe conversando; 27,6% revisando varios lugares; 21,9% lo ve todo en un solo lugar.</t>
  </si>
  <si>
    <t xml:space="preserve">8. Uso de herramientas</t>
  </si>
  <si>
    <t xml:space="preserve">41,5% dice que todo su equipo usa software de tareas, pero solo 21,9% logra ver todo el trabajo en un solo lugar.</t>
  </si>
  <si>
    <t xml:space="preserve">10. Imprevistos</t>
  </si>
  <si>
    <t xml:space="preserve">52,5% lo vive al menos varias veces por semana; 16,7% a diario.</t>
  </si>
  <si>
    <t xml:space="preserve">11. Manejo de errores</t>
  </si>
  <si>
    <t xml:space="preserve">49,4% solo lo arregla; 41,5% además previene; solo 21,0% registra sus errores.</t>
  </si>
  <si>
    <t xml:space="preserve">16. Tiempo para mejorar</t>
  </si>
  <si>
    <t xml:space="preserve">17,3% dedica la mayor parte del tiempo a arreglar errores; en 66,0% de los equipos, mejorar es a lo que menos tiempo se dedica.</t>
  </si>
  <si>
    <t xml:space="preserve">17. Documentación</t>
  </si>
  <si>
    <t xml:space="preserve">Solo 17,6% guarda sus procedimientos en un lugar accesible, centralizado, editable y seguro.</t>
  </si>
  <si>
    <t xml:space="preserve">18. Persona clave</t>
  </si>
  <si>
    <t xml:space="preserve">22,1% se detendría; 59,0% tendría problemas pero haría lo esencial; solo 19,0% seguiría funcionando.</t>
  </si>
  <si>
    <t xml:space="preserve">20. Ideas del equipo</t>
  </si>
  <si>
    <t xml:space="preserve">Solo 17,8% tiene un lugar donde guardar ideas y retroalimentación para revisarlas después.</t>
  </si>
  <si>
    <t xml:space="preserve">Fuente: ProcessDriven's 2025 Small Business Operations Report — https://processdriven.co/report (4.740 equipos). Comparación aproximada: las alternativas están adaptadas.</t>
  </si>
  <si>
    <t xml:space="preserve">Este test es una autoevaluación orientativa: no reemplaza un diagnóstico en terreno.</t>
  </si>
  <si>
    <t xml:space="preserve">Comparar respuestas del equipo</t>
  </si>
  <si>
    <t xml:space="preserve">Que 2 o 3 personas respondan por separado y anoten aquí sus respuestas. Donde la diferencia es grande, hay algo que conversar.</t>
  </si>
  <si>
    <t xml:space="preserve">Nombre →</t>
  </si>
  <si>
    <t xml:space="preserve">Persona 1</t>
  </si>
  <si>
    <t xml:space="preserve">Persona 2</t>
  </si>
  <si>
    <t xml:space="preserve">Persona 3</t>
  </si>
  <si>
    <t xml:space="preserve">P1</t>
  </si>
  <si>
    <t xml:space="preserve">P2</t>
  </si>
  <si>
    <t xml:space="preserve">P3</t>
  </si>
  <si>
    <t xml:space="preserve">Diferencia</t>
  </si>
  <si>
    <t xml:space="preserve">Alerta</t>
  </si>
  <si>
    <t xml:space="preserve">Promedio por área</t>
  </si>
  <si>
    <t xml:space="preserve">«Conversar» aparece cuando dos personas están a 2 o más puntos de distancia en la misma pregunta.</t>
  </si>
  <si>
    <t xml:space="preserve">Base metodológica</t>
  </si>
  <si>
    <t xml:space="preserve">Qué evalúa</t>
  </si>
  <si>
    <t xml:space="preserve">La pregunta central de Procesos Claros: ¿tiene la empresa reglas, datos y responsables suficientemente claros para que un software los ejecute? Un ERP no inventa reglas de negocio; las automatiza.</t>
  </si>
  <si>
    <t xml:space="preserve">Qué toma del 2025 Small Business Operations Report de ProcessDriven (4.740 equipos)</t>
  </si>
  <si>
    <t xml:space="preserve">1. Formato de respuesta. Igual que el Systemization Snapshot, cada pregunta ofrece alternativas que describen situaciones concretas (por ejemplo: «nos detendríamos / tendríamos problemas / seguiríamos funcionando»), en vez de una escala genérica de frecuencia. Esto reduce la tendencia a responder de forma optimista.</t>
  </si>
  <si>
    <t xml:space="preserve">2. Preguntas comparables. 10 de las 20 preguntas están adaptadas de preguntas del reporte (responsabilidades, tareas rutinarias, visibilidad del trabajo, uso de herramientas, imprevistos, manejo de errores, tiempo para mejorar, documentación, persona clave e ideas del equipo), lo que permite mostrar cómo responden otras pymes.</t>
  </si>
  <si>
    <t xml:space="preserve">3. Estructura por categorías. Las áreas del test se corresponden con las tres categorías del reporte: Ejecución de tareas → Flujo y responsables; Asignación de recursos (tiempo, energía y presupuesto) → Recursos y medición y parte de Excepciones; Documentación del conocimiento → Documentación y equipo.</t>
  </si>
  <si>
    <t xml:space="preserve">4. Tiempo reactivo vs. tiempo de mejora. Se incorpora la distinción del reporte entre trabajo reactivo, rutinario y de mejora: implementar un ERP es trabajo de mejora, y una empresa sin tiempo para mejorar difícilmente lo absorbe.</t>
  </si>
  <si>
    <t xml:space="preserve">5. Registro de errores como primer sistema. El reporte lo recomienda como el primer sistema para empresas que viven apagando incendios; por eso es el «Paso 0» de todo resultado que no sea «Lista».</t>
  </si>
  <si>
    <t xml:space="preserve">6. Criterios de documentación. La pregunta sobre procesos descritos usa los criterios del reporte: accesible, centralizado, editable y seguro.</t>
  </si>
  <si>
    <t xml:space="preserve">7. Uso repetido. Como el Snapshot, el test está pensado para repetirse en el tiempo y compararse contra uno mismo.</t>
  </si>
  <si>
    <t xml:space="preserve">Qué agrega Procesos Claros para la preparación para un ERP</t>
  </si>
  <si>
    <t xml:space="preserve">Área Datos (fuente única, consistencia del stock, doble digitación), y en Recursos y medición los márgenes, la caja y los indicadores. Ninguno está en el reporte de ProcessDriven, y son condiciones que un ERP exige desde el primer día.</t>
  </si>
  <si>
    <t xml:space="preserve">Preguntas críticas ★: recorrido del pedido, responsables, fuente única de datos y reglas para excepciones. Corresponden a lo que hay que tener claro antes de comprar un ERP (mapa de procesos y reglas de excepción). Si alguna queda en 0, el veredicto no puede ser «Lista».</t>
  </si>
  <si>
    <t xml:space="preserve">Contexto por tamaño: lo crítico cambia con la etapa de la empresa (Churchill y Lewis), y el reporte muestra diferencias claras por tamaño de equipo.</t>
  </si>
  <si>
    <t xml:space="preserve">Mirada sistémica: consistencia entre respuestas</t>
  </si>
  <si>
    <t xml:space="preserve">Las 20 preguntas no son independientes: una empresa es un sistema y sus partes dependen unas de otras. El test revisa 15 combinaciones de respuestas que difícilmente conviven (por ejemplo, ver todo el trabajo en un solo lugar sin herramientas compartidas, o que la operación siga sin la persona clave cuando nada está documentado). Cuando aparece una, se muestra un comentario que invita a revisar ambas preguntas. No cambia el puntaje: el objetivo es que las respuestas sean honestas.</t>
  </si>
  <si>
    <t xml:space="preserve">Pares revisados: P4–P8, P3–P8, P7–P5, P14–P6, P13–P5, P15–P5, P10–P16 (en ambos sentidos), P18–P17, P18–P2, P19–P9, P19–P12, P1–P2, P17–P3 y P20–P19.</t>
  </si>
  <si>
    <t xml:space="preserve">Cómo se calcula</t>
  </si>
  <si>
    <t xml:space="preserve">Cada pregunta vale de 0 a 3 puntos (12 por área, 60 en total). Lista para un sistema: total ≥ 70%, ninguna área bajo 50% y ninguna pregunta crítica en 0. Zona intermedia: total ≥ 45%. Todavía no: total bajo 45%.</t>
  </si>
  <si>
    <t xml:space="preserve">Los umbrales son criterio de Procesos Claros y se irán calibrando con resultados reales. Como referencia, en el reporte el equipo promedio obtuvo 32,6% en ejecución de tareas, 50,4% en asignación de recursos y 40,5% en documentación: que la mayoría de las pymes no esté «lista» es esperable.</t>
  </si>
  <si>
    <t xml:space="preserve">Alcance de la comparación</t>
  </si>
  <si>
    <t xml:space="preserve">Los datos del reporte son autorreportados por equipos que eligieron hacer el test de ProcessDriven, mayoritariamente de EE.UU. y con pocas empresas chilenas. Las alternativas de este test están adaptadas, no copiadas, así que la comparación es aproximada. El reporte mide sistematización, no preparación para un ERP: inspira el diseño de este test, pero no lo valida.</t>
  </si>
  <si>
    <t xml:space="preserve">Referencias</t>
  </si>
  <si>
    <t xml:space="preserve">ProcessDriven's 2025 Small Business Operations Report — https://processdriven.co/report. © 2025 ProcessDriven.</t>
  </si>
  <si>
    <t xml:space="preserve">ProcessDriven, masterclass de sistematización para equipos de 3 a 50 personas.</t>
  </si>
  <si>
    <t xml:space="preserve">Churchill, N. y Lewis, V. (1983). The Five Stages of Small Business Growth. Harvard Business Review.</t>
  </si>
  <si>
    <t xml:space="preserve">COMPITE (2020). Manual de reactivación para pymes.</t>
  </si>
  <si>
    <t xml:space="preserve">Procesos Claros — procesosclaros.cl/antes-del-erp.</t>
  </si>
  <si>
    <t xml:space="preserve">0 pts</t>
  </si>
  <si>
    <t xml:space="preserve">1 pt</t>
  </si>
  <si>
    <t xml:space="preserve">2 pts</t>
  </si>
  <si>
    <t xml:space="preserve">3 pts</t>
  </si>
  <si>
    <t xml:space="preserve">Crítica</t>
  </si>
  <si>
    <t xml:space="preserve">Primera acción</t>
  </si>
  <si>
    <t xml:space="preserve">Parámetro</t>
  </si>
  <si>
    <t xml:space="preserve">Valor</t>
  </si>
  <si>
    <t xml:space="preserve">No: cada pedido sigue su propio camino</t>
  </si>
  <si>
    <t xml:space="preserve">Lo sabe el dueño o una persona, de memoria</t>
  </si>
  <si>
    <t xml:space="preserve">Está dibujado o escrito, pero incompleto o desactualizado</t>
  </si>
  <si>
    <t xml:space="preserve">Está dibujado de punta a punta y vigente</t>
  </si>
  <si>
    <t xml:space="preserve">Toma un pedido real y dibuja en una hoja su recorrido completo, de la venta al cobro. Ponle a cada paso un responsable con nombre.</t>
  </si>
  <si>
    <t xml:space="preserve">Umbral 'Lista' (puntaje total)</t>
  </si>
  <si>
    <t xml:space="preserve">Todos hacen de todo</t>
  </si>
  <si>
    <t xml:space="preserve">Se sabe por costumbre, pero no está escrito</t>
  </si>
  <si>
    <t xml:space="preserve">Hay responsables escritos solo para algunas etapas</t>
  </si>
  <si>
    <t xml:space="preserve">Cada etapa tiene un responsable con nombre, por escrito</t>
  </si>
  <si>
    <t xml:space="preserve">Define una sola lista oficial de productos, clientes y precios, con un responsable. Depura duplicados y retira las copias personales en Excel.</t>
  </si>
  <si>
    <t xml:space="preserve">Umbral 'Zona intermedia' (puntaje total)</t>
  </si>
  <si>
    <t xml:space="preserve">De memoria</t>
  </si>
  <si>
    <t xml:space="preserve">Cada persona con su propia lista o recordatorio</t>
  </si>
  <si>
    <t xml:space="preserve">En un lugar compartido, pero solo en algunas áreas</t>
  </si>
  <si>
    <t xml:space="preserve">Todas en un lugar compartido, con frecuencia y responsable</t>
  </si>
  <si>
    <t xml:space="preserve">Escribe en una página qué hacer en las 3 situaciones que más se repiten (devolución, quiebre de stock, pedido urgente) y quién decide en cada caso.</t>
  </si>
  <si>
    <t xml:space="preserve">Mínimo por área para 'Lista'</t>
  </si>
  <si>
    <t xml:space="preserve">Preguntándole a alguien</t>
  </si>
  <si>
    <t xml:space="preserve">Revisando varios lugares (Excel, WhatsApp, correo)</t>
  </si>
  <si>
    <t xml:space="preserve">En un solo lugar, pero no siempre al día</t>
  </si>
  <si>
    <t xml:space="preserve">En un solo lugar, al día, sin preguntarle a nadie</t>
  </si>
  <si>
    <t xml:space="preserve">Arma un flujo de caja simple a 13 semanas, calcula el margen de tus 10 productos más vendidos y reserva 2 horas semanales del equipo para mejoras.</t>
  </si>
  <si>
    <t xml:space="preserve">Diferencia entre personas que se marca para conversar</t>
  </si>
  <si>
    <t xml:space="preserve">En varios Excel personales, cada uno con su versión</t>
  </si>
  <si>
    <t xml:space="preserve">Hay una lista principal, pero conviven copias y duplicados</t>
  </si>
  <si>
    <t xml:space="preserve">Hay una lista única, con algunos duplicados o datos incompletos</t>
  </si>
  <si>
    <t xml:space="preserve">En una sola fuente, con códigos únicos y un responsable de mantenerla</t>
  </si>
  <si>
    <t xml:space="preserve">Identifica las 3 tareas que solo sabe hacer una persona y documenta cada una en un instructivo de una página, en un lugar compartido.</t>
  </si>
  <si>
    <t xml:space="preserve">No sabemos: no se revisa</t>
  </si>
  <si>
    <t xml:space="preserve">Hay diferencias frecuentes que nadie explica</t>
  </si>
  <si>
    <t xml:space="preserve">Hay diferencias menores y se explican</t>
  </si>
  <si>
    <t xml:space="preserve">Coincide, y se verifica con conteos periódicos</t>
  </si>
  <si>
    <t xml:space="preserve">Supuestos de Procesos Claros, ajustables. Ver hoja Metodología.</t>
  </si>
  <si>
    <t xml:space="preserve">Tres veces o más, en distintas planillas o sistemas</t>
  </si>
  <si>
    <t xml:space="preserve">Dos veces</t>
  </si>
  <si>
    <t xml:space="preserve">Una vez, con algunas excepciones</t>
  </si>
  <si>
    <t xml:space="preserve">Una sola vez; después se consulta, no se copia</t>
  </si>
  <si>
    <t xml:space="preserve">No hay herramientas compartidas: cada uno con lo suyo</t>
  </si>
  <si>
    <t xml:space="preserve">Existen, pero pocos las usan o están desactualizadas</t>
  </si>
  <si>
    <t xml:space="preserve">La mayoría las usa, pero en paralelo hay Excel o cuadernos propios</t>
  </si>
  <si>
    <t xml:space="preserve">Todo el equipo las usa y la información está al día</t>
  </si>
  <si>
    <t xml:space="preserve">Se improvisa cada vez</t>
  </si>
  <si>
    <t xml:space="preserve">Depende de quién esté</t>
  </si>
  <si>
    <t xml:space="preserve">Hay una forma acordada, pero no escrita</t>
  </si>
  <si>
    <t xml:space="preserve">Hay una forma acordada, escrita y conocida por todos</t>
  </si>
  <si>
    <t xml:space="preserve">A diario</t>
  </si>
  <si>
    <t xml:space="preserve">Varias veces por semana</t>
  </si>
  <si>
    <t xml:space="preserve">Algunas veces al mes</t>
  </si>
  <si>
    <t xml:space="preserve">Rara vez</t>
  </si>
  <si>
    <t xml:space="preserve">Buscamos un culpable o lo dejamos pasar</t>
  </si>
  <si>
    <t xml:space="preserve">Lo arreglamos y seguimos</t>
  </si>
  <si>
    <t xml:space="preserve">Lo arreglamos y tomamos una acción para que no se repita</t>
  </si>
  <si>
    <t xml:space="preserve">Lo arreglamos, lo registramos y tomamos una acción para que no se repita</t>
  </si>
  <si>
    <t xml:space="preserve">No existen</t>
  </si>
  <si>
    <t xml:space="preserve">Existen, pero se saltan con frecuencia</t>
  </si>
  <si>
    <t xml:space="preserve">Existen y casi siempre se respetan</t>
  </si>
  <si>
    <t xml:space="preserve">Están escritos, se respetan y se revisan</t>
  </si>
  <si>
    <t xml:space="preserve">No</t>
  </si>
  <si>
    <t xml:space="preserve">Tenemos una idea general</t>
  </si>
  <si>
    <t xml:space="preserve">Para los principales productos o servicios</t>
  </si>
  <si>
    <t xml:space="preserve">Para todos, y se actualiza cuando cambian costos o precios</t>
  </si>
  <si>
    <t xml:space="preserve">Miramos el saldo del banco</t>
  </si>
  <si>
    <t xml:space="preserve">Proyectamos solo cuando hay un problema</t>
  </si>
  <si>
    <t xml:space="preserve">Proyectamos a 3 meses o más, pero no lo revisamos seguido</t>
  </si>
  <si>
    <t xml:space="preserve">Flujo a 3+ meses revisado seguido, que incluye inventario y cuentas por cobrar</t>
  </si>
  <si>
    <t xml:space="preserve">Ninguno</t>
  </si>
  <si>
    <t xml:space="preserve">Solo ventas</t>
  </si>
  <si>
    <t xml:space="preserve">Algunos operativos, sin meta ni responsable</t>
  </si>
  <si>
    <t xml:space="preserve">3 a 5 operativos, con meta y responsable, revisados periódicamente</t>
  </si>
  <si>
    <t xml:space="preserve">Apagando incendios: arreglando errores y reclamos</t>
  </si>
  <si>
    <t xml:space="preserve">En el trabajo rutinario; nunca queda tiempo para mejorar</t>
  </si>
  <si>
    <t xml:space="preserve">En el trabajo rutinario, y de vez en cuando mejoramos algo</t>
  </si>
  <si>
    <t xml:space="preserve">En el trabajo rutinario, con tiempo reservado para mejorar</t>
  </si>
  <si>
    <t xml:space="preserve">No están descritos: viven en la cabeza de las personas</t>
  </si>
  <si>
    <t xml:space="preserve">En archivos dispersos, difíciles de encontrar</t>
  </si>
  <si>
    <t xml:space="preserve">En un solo lugar, pero desactualizados o sin control de acceso</t>
  </si>
  <si>
    <t xml:space="preserve">En un solo lugar, accesibles, actualizados y con acceso controlado</t>
  </si>
  <si>
    <t xml:space="preserve">Se detendría</t>
  </si>
  <si>
    <t xml:space="preserve">Tendría problemas serios</t>
  </si>
  <si>
    <t xml:space="preserve">Haría lo esencial, con dificultad</t>
  </si>
  <si>
    <t xml:space="preserve">Seguiría funcionando con normalidad</t>
  </si>
  <si>
    <t xml:space="preserve">El dueño o gerente decide casi todo</t>
  </si>
  <si>
    <t xml:space="preserve">El equipo ejecuta, pero consulta casi todo</t>
  </si>
  <si>
    <t xml:space="preserve">El equipo decide lo habitual, con supervisión frecuente</t>
  </si>
  <si>
    <t xml:space="preserve">El equipo decide dentro de reglas claras, sin supervisión constante</t>
  </si>
  <si>
    <t xml:space="preserve">No participa</t>
  </si>
  <si>
    <t xml:space="preserve">Se le informa de los cambios</t>
  </si>
  <si>
    <t xml:space="preserve">Se le consulta de vez en cuando</t>
  </si>
  <si>
    <t xml:space="preserve">Participa en definir procesos y hay un lugar donde se registran sus ideas</t>
  </si>
</sst>
</file>

<file path=xl/styles.xml><?xml version="1.0" encoding="utf-8"?>
<styleSheet xmlns="http://schemas.openxmlformats.org/spreadsheetml/2006/main">
  <numFmts count="5">
    <numFmt numFmtId="164" formatCode="General"/>
    <numFmt numFmtId="165" formatCode="dd\-mm\-yyyy"/>
    <numFmt numFmtId="166" formatCode="General"/>
    <numFmt numFmtId="167" formatCode="0%"/>
    <numFmt numFmtId="168" formatCode="0.00%"/>
  </numFmts>
  <fonts count="30">
    <font>
      <sz val="11"/>
      <color theme="1"/>
      <name val="Calibri"/>
      <family val="2"/>
      <charset val="1"/>
    </font>
    <font>
      <sz val="10"/>
      <name val="Arial"/>
      <family val="0"/>
    </font>
    <font>
      <sz val="10"/>
      <name val="Arial"/>
      <family val="0"/>
    </font>
    <font>
      <sz val="10"/>
      <name val="Arial"/>
      <family val="0"/>
    </font>
    <font>
      <b val="true"/>
      <sz val="10"/>
      <color rgb="FF2563EB"/>
      <name val="Arial"/>
      <family val="0"/>
      <charset val="1"/>
    </font>
    <font>
      <b val="true"/>
      <sz val="22"/>
      <color rgb="FF1A1C1F"/>
      <name val="Arial"/>
      <family val="0"/>
      <charset val="1"/>
    </font>
    <font>
      <sz val="11"/>
      <color rgb="FF6B7280"/>
      <name val="Arial"/>
      <family val="0"/>
      <charset val="1"/>
    </font>
    <font>
      <i val="true"/>
      <sz val="9"/>
      <color rgb="FF6B7280"/>
      <name val="Arial"/>
      <family val="0"/>
      <charset val="1"/>
    </font>
    <font>
      <b val="true"/>
      <sz val="12"/>
      <color rgb="FF2563EB"/>
      <name val="Arial"/>
      <family val="0"/>
      <charset val="1"/>
    </font>
    <font>
      <sz val="10"/>
      <color rgb="FF1A1C1F"/>
      <name val="Arial"/>
      <family val="0"/>
      <charset val="1"/>
    </font>
    <font>
      <b val="true"/>
      <u val="single"/>
      <sz val="11"/>
      <color rgb="FF2563EB"/>
      <name val="Arial"/>
      <family val="0"/>
      <charset val="1"/>
    </font>
    <font>
      <sz val="9"/>
      <color rgb="FF6B7280"/>
      <name val="Arial"/>
      <family val="0"/>
      <charset val="1"/>
    </font>
    <font>
      <b val="true"/>
      <sz val="16"/>
      <color rgb="FF1A1C1F"/>
      <name val="Arial"/>
      <family val="0"/>
      <charset val="1"/>
    </font>
    <font>
      <sz val="10"/>
      <color rgb="FF6B7280"/>
      <name val="Arial"/>
      <family val="0"/>
      <charset val="1"/>
    </font>
    <font>
      <b val="true"/>
      <sz val="10"/>
      <color rgb="FF1A1C1F"/>
      <name val="Arial"/>
      <family val="0"/>
      <charset val="1"/>
    </font>
    <font>
      <b val="true"/>
      <sz val="10"/>
      <color rgb="FFFFFFFF"/>
      <name val="Arial"/>
      <family val="0"/>
      <charset val="1"/>
    </font>
    <font>
      <i val="true"/>
      <sz val="9"/>
      <color rgb="FF92400E"/>
      <name val="Arial"/>
      <family val="0"/>
      <charset val="1"/>
    </font>
    <font>
      <i val="true"/>
      <sz val="8"/>
      <color rgb="FF6B7280"/>
      <name val="Arial"/>
      <family val="0"/>
      <charset val="1"/>
    </font>
    <font>
      <b val="true"/>
      <sz val="18"/>
      <color rgb="FF1A1C1F"/>
      <name val="Arial"/>
      <family val="0"/>
      <charset val="1"/>
    </font>
    <font>
      <b val="true"/>
      <sz val="11"/>
      <color rgb="FF1A1C1F"/>
      <name val="Arial"/>
      <family val="0"/>
      <charset val="1"/>
    </font>
    <font>
      <b val="true"/>
      <sz val="12"/>
      <color rgb="FF1A1C1F"/>
      <name val="Arial"/>
      <family val="0"/>
      <charset val="1"/>
    </font>
    <font>
      <b val="true"/>
      <sz val="20"/>
      <color rgb="FFFFFFFF"/>
      <name val="Arial"/>
      <family val="0"/>
      <charset val="1"/>
    </font>
    <font>
      <b val="true"/>
      <sz val="10"/>
      <color rgb="FF92400E"/>
      <name val="Arial"/>
      <family val="0"/>
      <charset val="1"/>
    </font>
    <font>
      <b val="true"/>
      <u val="single"/>
      <sz val="11"/>
      <color rgb="FFFFFFFF"/>
      <name val="Arial"/>
      <family val="0"/>
      <charset val="1"/>
    </font>
    <font>
      <b val="true"/>
      <sz val="9"/>
      <color rgb="FFFFFFFF"/>
      <name val="Arial"/>
      <family val="0"/>
      <charset val="1"/>
    </font>
    <font>
      <b val="true"/>
      <sz val="9"/>
      <color rgb="FF1A1C1F"/>
      <name val="Arial"/>
      <family val="0"/>
      <charset val="1"/>
    </font>
    <font>
      <sz val="9"/>
      <color rgb="FF1A1C1F"/>
      <name val="Arial"/>
      <family val="0"/>
      <charset val="1"/>
    </font>
    <font>
      <b val="true"/>
      <sz val="18"/>
      <color rgb="FF000000"/>
      <name val="Calibri"/>
      <family val="2"/>
    </font>
    <font>
      <sz val="10"/>
      <color rgb="FF000000"/>
      <name val="Calibri"/>
      <family val="2"/>
    </font>
    <font>
      <b val="true"/>
      <sz val="11"/>
      <color rgb="FF2563EB"/>
      <name val="Arial"/>
      <family val="0"/>
      <charset val="1"/>
    </font>
  </fonts>
  <fills count="8">
    <fill>
      <patternFill patternType="none"/>
    </fill>
    <fill>
      <patternFill patternType="gray125"/>
    </fill>
    <fill>
      <patternFill patternType="solid">
        <fgColor rgb="FF1A1C1F"/>
        <bgColor rgb="FF333300"/>
      </patternFill>
    </fill>
    <fill>
      <patternFill patternType="solid">
        <fgColor rgb="FFFFF4C2"/>
        <bgColor rgb="FFFEF3C7"/>
      </patternFill>
    </fill>
    <fill>
      <patternFill patternType="solid">
        <fgColor rgb="FFF3F4F6"/>
        <bgColor rgb="FFEFF6FF"/>
      </patternFill>
    </fill>
    <fill>
      <patternFill patternType="solid">
        <fgColor rgb="FF6B7280"/>
        <bgColor rgb="FF878787"/>
      </patternFill>
    </fill>
    <fill>
      <patternFill patternType="solid">
        <fgColor rgb="FFEFF6FF"/>
        <bgColor rgb="FFF3F4F6"/>
      </patternFill>
    </fill>
    <fill>
      <patternFill patternType="solid">
        <fgColor rgb="FF2563EB"/>
        <bgColor rgb="FF0066CC"/>
      </patternFill>
    </fill>
  </fills>
  <borders count="3">
    <border diagonalUp="false" diagonalDown="false">
      <left/>
      <right/>
      <top/>
      <bottom/>
      <diagonal/>
    </border>
    <border diagonalUp="false" diagonalDown="false">
      <left style="thin">
        <color rgb="FFD1D5DB"/>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true">
      <alignment horizontal="general" vertical="bottom" textRotation="0" wrapText="false" indent="0" shrinkToFit="false"/>
      <protection locked="false" hidden="false"/>
    </xf>
    <xf numFmtId="165" fontId="9" fillId="3" borderId="1" xfId="0" applyFont="true" applyBorder="true" applyAlignment="false" applyProtection="true">
      <alignment horizontal="general" vertical="bottom" textRotation="0" wrapText="false" indent="0" shrinkToFit="false"/>
      <protection locked="fals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4" fillId="4" borderId="0" xfId="0" applyFont="true" applyBorder="tru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general" vertical="center" textRotation="0" wrapText="true" indent="0" shrinkToFit="false"/>
      <protection locked="true" hidden="false"/>
    </xf>
    <xf numFmtId="164" fontId="14" fillId="0" borderId="2" xfId="0" applyFont="true" applyBorder="true" applyAlignment="true" applyProtection="false">
      <alignment horizontal="general" vertical="center" textRotation="0" wrapText="true" indent="0" shrinkToFit="false"/>
      <protection locked="true" hidden="false"/>
    </xf>
    <xf numFmtId="164" fontId="9" fillId="3" borderId="2" xfId="0" applyFont="true" applyBorder="true" applyAlignment="true" applyProtection="true">
      <alignment horizontal="general" vertical="center" textRotation="0" wrapText="true" indent="0" shrinkToFit="false"/>
      <protection locked="false" hidden="false"/>
    </xf>
    <xf numFmtId="164" fontId="16" fillId="0" borderId="2" xfId="0" applyFont="true" applyBorder="tru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6" fontId="14"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center" textRotation="0" wrapText="true" indent="0" shrinkToFit="false"/>
      <protection locked="true" hidden="false"/>
    </xf>
    <xf numFmtId="167" fontId="19" fillId="0" borderId="2" xfId="0" applyFont="true" applyBorder="tru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9" fillId="4" borderId="2" xfId="0" applyFont="true" applyBorder="true" applyAlignment="false" applyProtection="false">
      <alignment horizontal="general" vertical="bottom" textRotation="0" wrapText="false" indent="0" shrinkToFit="false"/>
      <protection locked="true" hidden="false"/>
    </xf>
    <xf numFmtId="164" fontId="19" fillId="4" borderId="2" xfId="0" applyFont="true" applyBorder="true" applyAlignment="true" applyProtection="false">
      <alignment horizontal="center" vertical="center" textRotation="0" wrapText="true" indent="0" shrinkToFit="false"/>
      <protection locked="true" hidden="false"/>
    </xf>
    <xf numFmtId="167" fontId="20"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false" applyProtection="false">
      <alignment horizontal="general" vertical="bottom" textRotation="0" wrapText="false" indent="0" shrinkToFit="false"/>
      <protection locked="true" hidden="false"/>
    </xf>
    <xf numFmtId="164" fontId="21" fillId="5"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14" fillId="6" borderId="2" xfId="0" applyFont="true" applyBorder="true" applyAlignment="true" applyProtection="false">
      <alignment horizontal="general" vertical="center" textRotation="0" wrapText="true" indent="0" shrinkToFit="false"/>
      <protection locked="true" hidden="false"/>
    </xf>
    <xf numFmtId="164" fontId="9" fillId="6" borderId="2" xfId="0" applyFont="true" applyBorder="true" applyAlignment="true" applyProtection="false">
      <alignment horizontal="general" vertical="center" textRotation="0" wrapText="true" indent="0" shrinkToFit="false"/>
      <protection locked="true" hidden="false"/>
    </xf>
    <xf numFmtId="167" fontId="19" fillId="4"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general" vertical="center" textRotation="0" wrapText="tru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23" fillId="7" borderId="0"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false" applyAlignment="true" applyProtection="false">
      <alignment horizontal="center" vertical="center" textRotation="0" wrapText="true" indent="0" shrinkToFit="false"/>
      <protection locked="true" hidden="false"/>
    </xf>
    <xf numFmtId="164" fontId="24" fillId="2" borderId="0" xfId="0" applyFont="true" applyBorder="true" applyAlignment="true" applyProtection="false">
      <alignment horizontal="center" vertical="center" textRotation="0" wrapText="true" indent="0" shrinkToFit="false"/>
      <protection locked="true" hidden="false"/>
    </xf>
    <xf numFmtId="164" fontId="25" fillId="0" borderId="2" xfId="0" applyFont="true" applyBorder="true" applyAlignment="true" applyProtection="false">
      <alignment horizontal="general" vertical="center" textRotation="0" wrapText="true" indent="0" shrinkToFit="false"/>
      <protection locked="true" hidden="false"/>
    </xf>
    <xf numFmtId="164" fontId="25" fillId="0" borderId="2" xfId="0" applyFont="true" applyBorder="true" applyAlignment="true" applyProtection="false">
      <alignment horizontal="center" vertical="center" textRotation="0" wrapText="true" indent="0" shrinkToFit="false"/>
      <protection locked="true" hidden="false"/>
    </xf>
    <xf numFmtId="164" fontId="26" fillId="0" borderId="2"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4" fillId="3" borderId="2" xfId="0" applyFont="true" applyBorder="true" applyAlignment="true" applyProtection="true">
      <alignment horizontal="center" vertical="center" textRotation="0" wrapText="true" indent="0" shrinkToFit="false"/>
      <protection locked="fals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FEF7E6"/>
        </patternFill>
      </fill>
    </dxf>
    <dxf>
      <font>
        <name val="Arial"/>
        <charset val="1"/>
        <family val="0"/>
        <b val="1"/>
        <color rgb="FF166534"/>
      </font>
      <fill>
        <patternFill>
          <bgColor rgb="FFDCFCE7"/>
        </patternFill>
      </fill>
    </dxf>
    <dxf>
      <font>
        <name val="Arial"/>
        <charset val="1"/>
        <family val="0"/>
        <b val="1"/>
        <color rgb="FF92400E"/>
      </font>
      <fill>
        <patternFill>
          <bgColor rgb="FFFEF3C7"/>
        </patternFill>
      </fill>
    </dxf>
    <dxf>
      <font>
        <name val="Arial"/>
        <charset val="1"/>
        <family val="0"/>
        <b val="1"/>
        <color rgb="FF991B1B"/>
      </font>
      <fill>
        <patternFill>
          <bgColor rgb="FFFEE2E2"/>
        </patternFill>
      </fill>
    </dxf>
    <dxf>
      <fill>
        <patternFill>
          <bgColor rgb="FFFEF3C7"/>
        </patternFill>
      </fill>
    </dxf>
    <dxf>
      <fill>
        <patternFill>
          <bgColor rgb="FF16A34A"/>
        </patternFill>
      </fill>
    </dxf>
    <dxf>
      <fill>
        <patternFill>
          <bgColor rgb="FFD97706"/>
        </patternFill>
      </fill>
    </dxf>
    <dxf>
      <fill>
        <patternFill>
          <bgColor rgb="FFDC2626"/>
        </patternFill>
      </fill>
    </dxf>
    <dxf>
      <fill>
        <patternFill>
          <bgColor rgb="FFDCFCE7"/>
        </patternFill>
      </fill>
    </dxf>
    <dxf>
      <fill>
        <patternFill>
          <bgColor rgb="FFFEE2E2"/>
        </patternFill>
      </fill>
    </dxf>
  </dxfs>
  <colors>
    <indexedColors>
      <rgbColor rgb="FF000000"/>
      <rgbColor rgb="FFFFFFFF"/>
      <rgbColor rgb="FFDC2626"/>
      <rgbColor rgb="FF00FF00"/>
      <rgbColor rgb="FF0000FF"/>
      <rgbColor rgb="FFFFFF00"/>
      <rgbColor rgb="FFFF00FF"/>
      <rgbColor rgb="FF00FFFF"/>
      <rgbColor rgb="FF991B1B"/>
      <rgbColor rgb="FF166534"/>
      <rgbColor rgb="FF000080"/>
      <rgbColor rgb="FF808000"/>
      <rgbColor rgb="FF800080"/>
      <rgbColor rgb="FF008080"/>
      <rgbColor rgb="FFD9D9D9"/>
      <rgbColor rgb="FF878787"/>
      <rgbColor rgb="FF9999FF"/>
      <rgbColor rgb="FF993366"/>
      <rgbColor rgb="FFFFF4C2"/>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FF6FF"/>
      <rgbColor rgb="FFF3F4F6"/>
      <rgbColor rgb="FFFEF3C7"/>
      <rgbColor rgb="FF93B4F5"/>
      <rgbColor rgb="FFFEF7E6"/>
      <rgbColor rgb="FFCC99FF"/>
      <rgbColor rgb="FFFEE2E2"/>
      <rgbColor rgb="FF2563EB"/>
      <rgbColor rgb="FF33CCCC"/>
      <rgbColor rgb="FF99CC00"/>
      <rgbColor rgb="FFFFCC00"/>
      <rgbColor rgb="FFFF9900"/>
      <rgbColor rgb="FFD97706"/>
      <rgbColor rgb="FF6B7280"/>
      <rgbColor rgb="FF969696"/>
      <rgbColor rgb="FF003366"/>
      <rgbColor rgb="FF16A34A"/>
      <rgbColor rgb="FF003300"/>
      <rgbColor rgb="FF333300"/>
      <rgbColor rgb="FF92400E"/>
      <rgbColor rgb="FF993366"/>
      <rgbColor rgb="FF333399"/>
      <rgbColor rgb="FF1A1C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Madurez por área</a:t>
            </a:r>
          </a:p>
        </c:rich>
      </c:tx>
      <c:overlay val="0"/>
      <c:spPr>
        <a:noFill/>
        <a:ln w="0">
          <a:noFill/>
        </a:ln>
      </c:spPr>
    </c:title>
    <c:autoTitleDeleted val="0"/>
    <c:plotArea>
      <c:radarChart>
        <c:radarStyle val="filled"/>
        <c:varyColors val="0"/>
        <c:ser>
          <c:idx val="0"/>
          <c:order val="0"/>
          <c:tx>
            <c:strRef>
              <c:f>Resultado!D5</c:f>
              <c:strCache>
                <c:ptCount val="1"/>
                <c:pt idx="0">
                  <c:v>% madurez</c:v>
                </c:pt>
              </c:strCache>
            </c:strRef>
          </c:tx>
          <c:spPr>
            <a:solidFill>
              <a:srgbClr val="93b4f5"/>
            </a:solidFill>
            <a:ln w="0">
              <a:solidFill>
                <a:srgbClr val="2563eb"/>
              </a:solidFill>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Resultado!$B$6:$B$10</c:f>
              <c:strCache>
                <c:ptCount val="5"/>
                <c:pt idx="0">
                  <c:v>Flujo y responsables</c:v>
                </c:pt>
                <c:pt idx="1">
                  <c:v>Datos</c:v>
                </c:pt>
                <c:pt idx="2">
                  <c:v>Excepciones y control</c:v>
                </c:pt>
                <c:pt idx="3">
                  <c:v>Recursos y medición</c:v>
                </c:pt>
                <c:pt idx="4">
                  <c:v>Documentación y equipo</c:v>
                </c:pt>
              </c:strCache>
            </c:strRef>
          </c:cat>
          <c:val>
            <c:numRef>
              <c:f>Resultado!$D$6:$D$10</c:f>
              <c:numCache>
                <c:formatCode>0%</c:formatCode>
                <c:ptCount val="5"/>
                <c:pt idx="0">
                  <c:v>0</c:v>
                </c:pt>
                <c:pt idx="1">
                  <c:v>0</c:v>
                </c:pt>
                <c:pt idx="2">
                  <c:v>0</c:v>
                </c:pt>
                <c:pt idx="3">
                  <c:v>0</c:v>
                </c:pt>
                <c:pt idx="4">
                  <c:v>0</c:v>
                </c:pt>
              </c:numCache>
            </c:numRef>
          </c:val>
        </c:ser>
        <c:axId val="3794947"/>
        <c:axId val="40860018"/>
      </c:radarChart>
      <c:catAx>
        <c:axId val="3794947"/>
        <c:scaling>
          <c:orientation val="maxMin"/>
        </c:scaling>
        <c:delete val="0"/>
        <c:axPos val="b"/>
        <c:numFmt formatCode="General" sourceLinked="1"/>
        <c:majorTickMark val="none"/>
        <c:minorTickMark val="none"/>
        <c:tickLblPos val="nextTo"/>
        <c:spPr>
          <a:ln w="9360">
            <a:noFill/>
          </a:ln>
        </c:spPr>
        <c:txPr>
          <a:bodyPr/>
          <a:lstStyle/>
          <a:p>
            <a:pPr>
              <a:defRPr b="0" sz="1000" spc="-1" strike="noStrike">
                <a:solidFill>
                  <a:srgbClr val="000000"/>
                </a:solidFill>
                <a:latin typeface="Calibri"/>
              </a:defRPr>
            </a:pPr>
          </a:p>
        </c:txPr>
        <c:crossAx val="40860018"/>
        <c:crosses val="autoZero"/>
        <c:auto val="1"/>
        <c:lblAlgn val="ctr"/>
        <c:lblOffset val="100"/>
        <c:noMultiLvlLbl val="0"/>
      </c:catAx>
      <c:valAx>
        <c:axId val="40860018"/>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94947"/>
        <c:crosses val="autoZero"/>
        <c:crossBetween val="midCat"/>
        <c:majorUnit val="0.25"/>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44</xdr:row>
      <xdr:rowOff>100800</xdr:rowOff>
    </xdr:from>
    <xdr:to>
      <xdr:col>4</xdr:col>
      <xdr:colOff>1155240</xdr:colOff>
      <xdr:row>62</xdr:row>
      <xdr:rowOff>91440</xdr:rowOff>
    </xdr:to>
    <xdr:graphicFrame>
      <xdr:nvGraphicFramePr>
        <xdr:cNvPr id="0" name="Chart 1"/>
        <xdr:cNvGraphicFramePr/>
      </xdr:nvGraphicFramePr>
      <xdr:xfrm>
        <a:off x="211320" y="12658680"/>
        <a:ext cx="467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7.5" hidden="false" customHeight="true" outlineLevel="0" collapsed="false">
      <c r="B2" s="1"/>
    </row>
    <row r="3" customFormat="false" ht="15" hidden="false" customHeight="false" outlineLevel="0" collapsed="false">
      <c r="B3" s="2" t="s">
        <v>0</v>
      </c>
    </row>
    <row r="4" customFormat="false" ht="33.75" hidden="false" customHeight="true" outlineLevel="0" collapsed="false">
      <c r="B4" s="3" t="s">
        <v>1</v>
      </c>
    </row>
    <row r="5" customFormat="false" ht="15" hidden="false" customHeight="false" outlineLevel="0" collapsed="false">
      <c r="B5" s="4" t="s">
        <v>2</v>
      </c>
    </row>
    <row r="6" customFormat="false" ht="25.5" hidden="false" customHeight="true" outlineLevel="0" collapsed="false">
      <c r="B6" s="5" t="s">
        <v>3</v>
      </c>
    </row>
    <row r="8" customFormat="false" ht="15" hidden="false" customHeight="false" outlineLevel="0" collapsed="false">
      <c r="B8" s="6" t="s">
        <v>4</v>
      </c>
    </row>
    <row r="9" customFormat="false" ht="16.5" hidden="false" customHeight="true" outlineLevel="0" collapsed="false">
      <c r="B9" s="7" t="s">
        <v>5</v>
      </c>
    </row>
    <row r="10" customFormat="false" ht="30" hidden="false" customHeight="true" outlineLevel="0" collapsed="false">
      <c r="B10" s="7" t="s">
        <v>6</v>
      </c>
    </row>
    <row r="11" customFormat="false" ht="30" hidden="false" customHeight="true" outlineLevel="0" collapsed="false">
      <c r="B11" s="7" t="s">
        <v>7</v>
      </c>
    </row>
    <row r="12" customFormat="false" ht="30" hidden="false" customHeight="true" outlineLevel="0" collapsed="false">
      <c r="B12" s="7" t="s">
        <v>8</v>
      </c>
    </row>
    <row r="14" customFormat="false" ht="15" hidden="false" customHeight="false" outlineLevel="0" collapsed="false">
      <c r="B14" s="6" t="s">
        <v>9</v>
      </c>
    </row>
    <row r="15" customFormat="false" ht="30" hidden="false" customHeight="true" outlineLevel="0" collapsed="false">
      <c r="B15" s="7" t="s">
        <v>10</v>
      </c>
    </row>
    <row r="17" customFormat="false" ht="15" hidden="false" customHeight="false" outlineLevel="0" collapsed="false">
      <c r="B17" s="6" t="s">
        <v>11</v>
      </c>
    </row>
    <row r="18" customFormat="false" ht="30" hidden="false" customHeight="true" outlineLevel="0" collapsed="false">
      <c r="B18" s="7" t="s">
        <v>12</v>
      </c>
    </row>
    <row r="20" customFormat="false" ht="15" hidden="false" customHeight="false" outlineLevel="0" collapsed="false">
      <c r="B20" s="6" t="s">
        <v>13</v>
      </c>
    </row>
    <row r="21" customFormat="false" ht="30" hidden="false" customHeight="true" outlineLevel="0" collapsed="false">
      <c r="B21" s="7" t="s">
        <v>14</v>
      </c>
    </row>
    <row r="22" customFormat="false" ht="16.5" hidden="false" customHeight="true" outlineLevel="0" collapsed="false">
      <c r="B22" s="7" t="s">
        <v>15</v>
      </c>
    </row>
    <row r="24" customFormat="false" ht="15" hidden="false" customHeight="false" outlineLevel="0" collapsed="false">
      <c r="B24" s="6" t="s">
        <v>16</v>
      </c>
    </row>
    <row r="25" customFormat="false" ht="16.5" hidden="false" customHeight="true" outlineLevel="0" collapsed="false">
      <c r="B25" s="8" t="s">
        <v>17</v>
      </c>
    </row>
    <row r="27" customFormat="false" ht="15" hidden="false" customHeight="false" outlineLevel="0" collapsed="false">
      <c r="B27" s="9" t="str">
        <f aca="false">HYPERLINK("mailto:jorge@procesosclaros.cl?subject=Resultado%20del%20test%20de%20madurez","¿Quieres revisarlo conmigo? Envíame este archivo completado a jorge@procesosclaros.cl →")</f>
        <v>¿Quieres revisarlo conmigo? Envíame este archivo completado a jorge@procesosclaros.cl →</v>
      </c>
    </row>
    <row r="28" customFormat="false" ht="15" hidden="false" customHeight="false" outlineLevel="0" collapsed="false">
      <c r="B28" s="10" t="s">
        <v>18</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1"/>
    <col collapsed="false" customWidth="true" hidden="false" outlineLevel="0" max="3" min="3" style="0" width="44"/>
    <col collapsed="false" customWidth="true" hidden="false" outlineLevel="0" max="4" min="4" style="0" width="40"/>
    <col collapsed="false" customWidth="true" hidden="false" outlineLevel="0" max="5" min="5" style="0" width="6"/>
    <col collapsed="false" customWidth="true" hidden="false" outlineLevel="0" max="6" min="6" style="0" width="44"/>
    <col collapsed="false" customWidth="true" hidden="true" outlineLevel="0" max="8" min="7" style="0" width="4"/>
  </cols>
  <sheetData>
    <row r="1" customFormat="false" ht="19.7" hidden="false" customHeight="false" outlineLevel="0" collapsed="false">
      <c r="A1" s="11" t="s">
        <v>19</v>
      </c>
    </row>
    <row r="2" customFormat="false" ht="15" hidden="false" customHeight="false" outlineLevel="0" collapsed="false">
      <c r="A2" s="12" t="s">
        <v>20</v>
      </c>
    </row>
    <row r="4" customFormat="false" ht="15" hidden="false" customHeight="false" outlineLevel="0" collapsed="false">
      <c r="B4" s="13" t="s">
        <v>21</v>
      </c>
      <c r="C4" s="14"/>
      <c r="D4" s="14"/>
    </row>
    <row r="5" customFormat="false" ht="15" hidden="false" customHeight="false" outlineLevel="0" collapsed="false">
      <c r="B5" s="13" t="s">
        <v>22</v>
      </c>
      <c r="C5" s="14"/>
      <c r="D5" s="14"/>
    </row>
    <row r="6" customFormat="false" ht="15" hidden="false" customHeight="false" outlineLevel="0" collapsed="false">
      <c r="B6" s="13" t="s">
        <v>23</v>
      </c>
      <c r="C6" s="14"/>
      <c r="D6" s="14"/>
    </row>
    <row r="7" customFormat="false" ht="15" hidden="false" customHeight="false" outlineLevel="0" collapsed="false">
      <c r="B7" s="13" t="s">
        <v>24</v>
      </c>
      <c r="C7" s="14"/>
      <c r="D7" s="14"/>
    </row>
    <row r="8" customFormat="false" ht="15" hidden="false" customHeight="false" outlineLevel="0" collapsed="false">
      <c r="B8" s="13" t="s">
        <v>25</v>
      </c>
      <c r="C8" s="15"/>
      <c r="D8" s="15"/>
    </row>
    <row r="10" customFormat="false" ht="15" hidden="false" customHeight="false" outlineLevel="0" collapsed="false">
      <c r="A10" s="16" t="s">
        <v>26</v>
      </c>
      <c r="B10" s="16" t="s">
        <v>27</v>
      </c>
      <c r="C10" s="16" t="s">
        <v>28</v>
      </c>
      <c r="D10" s="16" t="s">
        <v>29</v>
      </c>
      <c r="E10" s="16" t="s">
        <v>30</v>
      </c>
      <c r="F10" s="16" t="s">
        <v>31</v>
      </c>
    </row>
    <row r="11" customFormat="false" ht="19.5" hidden="false" customHeight="true" outlineLevel="0" collapsed="false">
      <c r="A11" s="17" t="s">
        <v>32</v>
      </c>
      <c r="B11" s="17"/>
      <c r="C11" s="17"/>
      <c r="D11" s="17"/>
      <c r="E11" s="17"/>
      <c r="F11" s="17"/>
    </row>
    <row r="12" customFormat="false" ht="45.75" hidden="false" customHeight="true" outlineLevel="0" collapsed="false">
      <c r="A12" s="18" t="n">
        <v>1</v>
      </c>
      <c r="B12" s="19" t="s">
        <v>33</v>
      </c>
      <c r="C12" s="20" t="s">
        <v>34</v>
      </c>
      <c r="D12" s="21"/>
      <c r="E12" s="18" t="str">
        <f aca="false">IF(D12="","",MATCH(D12,Config!$B$2:$E$2,0)-1)</f>
        <v/>
      </c>
      <c r="F12" s="22"/>
      <c r="G12" s="0" t="n">
        <v>1</v>
      </c>
    </row>
    <row r="13" customFormat="false" ht="49.5" hidden="false" customHeight="true" outlineLevel="0" collapsed="false">
      <c r="A13" s="18" t="n">
        <v>2</v>
      </c>
      <c r="B13" s="19" t="s">
        <v>33</v>
      </c>
      <c r="C13" s="20" t="s">
        <v>35</v>
      </c>
      <c r="D13" s="21"/>
      <c r="E13" s="18" t="str">
        <f aca="false">IF(D13="","",MATCH(D13,Config!$B$3:$E$3,0)-1)</f>
        <v/>
      </c>
      <c r="F13" s="22" t="str">
        <f aca="false">IF(IF(OR($E$12="",$E$13=""),FALSE(),AND($E$12&gt;=3,$E$13&lt;=0)),"Mirada sistémica: en P1 el recorrido del pedido está claro y vigente, pero aquí todos hacen de todo. ¿Quién responde por cada paso de ese recorrido?","")</f>
        <v/>
      </c>
      <c r="G13" s="0" t="n">
        <v>1</v>
      </c>
      <c r="H13" s="23" t="n">
        <f aca="false">IF(IF(OR($E$12="",$E$13=""),FALSE(),AND($E$12&gt;=3,$E$13&lt;=0)),1,0)</f>
        <v>0</v>
      </c>
    </row>
    <row r="14" customFormat="false" ht="45.75" hidden="false" customHeight="true" outlineLevel="0" collapsed="false">
      <c r="A14" s="18" t="n">
        <v>3</v>
      </c>
      <c r="B14" s="19" t="s">
        <v>33</v>
      </c>
      <c r="C14" s="24" t="s">
        <v>36</v>
      </c>
      <c r="D14" s="21"/>
      <c r="E14" s="18" t="str">
        <f aca="false">IF(D14="","",MATCH(D14,Config!$B$4:$E$4,0)-1)</f>
        <v/>
      </c>
      <c r="F14" s="22"/>
      <c r="G14" s="0" t="n">
        <v>0</v>
      </c>
    </row>
    <row r="15" customFormat="false" ht="45.75" hidden="false" customHeight="true" outlineLevel="0" collapsed="false">
      <c r="A15" s="18" t="n">
        <v>4</v>
      </c>
      <c r="B15" s="19" t="s">
        <v>33</v>
      </c>
      <c r="C15" s="24" t="s">
        <v>37</v>
      </c>
      <c r="D15" s="21"/>
      <c r="E15" s="18" t="str">
        <f aca="false">IF(D15="","",MATCH(D15,Config!$B$5:$E$5,0)-1)</f>
        <v/>
      </c>
      <c r="F15" s="22"/>
      <c r="G15" s="0" t="n">
        <v>0</v>
      </c>
    </row>
    <row r="16" customFormat="false" ht="19.5" hidden="false" customHeight="true" outlineLevel="0" collapsed="false">
      <c r="A16" s="17" t="s">
        <v>38</v>
      </c>
      <c r="B16" s="17"/>
      <c r="C16" s="17"/>
      <c r="D16" s="17"/>
      <c r="E16" s="17"/>
      <c r="F16" s="17"/>
    </row>
    <row r="17" customFormat="false" ht="45.75" hidden="false" customHeight="true" outlineLevel="0" collapsed="false">
      <c r="A17" s="18" t="n">
        <v>5</v>
      </c>
      <c r="B17" s="19" t="s">
        <v>39</v>
      </c>
      <c r="C17" s="20" t="s">
        <v>40</v>
      </c>
      <c r="D17" s="21"/>
      <c r="E17" s="18" t="str">
        <f aca="false">IF(D17="","",MATCH(D17,Config!$B$6:$E$6,0)-1)</f>
        <v/>
      </c>
      <c r="F17" s="22"/>
      <c r="G17" s="0" t="n">
        <v>1</v>
      </c>
    </row>
    <row r="18" customFormat="false" ht="45.75" hidden="false" customHeight="true" outlineLevel="0" collapsed="false">
      <c r="A18" s="18" t="n">
        <v>6</v>
      </c>
      <c r="B18" s="19" t="s">
        <v>39</v>
      </c>
      <c r="C18" s="24" t="s">
        <v>41</v>
      </c>
      <c r="D18" s="21"/>
      <c r="E18" s="18" t="str">
        <f aca="false">IF(D18="","",MATCH(D18,Config!$B$7:$E$7,0)-1)</f>
        <v/>
      </c>
      <c r="F18" s="22"/>
      <c r="G18" s="0" t="n">
        <v>0</v>
      </c>
    </row>
    <row r="19" customFormat="false" ht="49.5" hidden="false" customHeight="true" outlineLevel="0" collapsed="false">
      <c r="A19" s="18" t="n">
        <v>7</v>
      </c>
      <c r="B19" s="19" t="s">
        <v>39</v>
      </c>
      <c r="C19" s="24" t="s">
        <v>42</v>
      </c>
      <c r="D19" s="21"/>
      <c r="E19" s="18" t="str">
        <f aca="false">IF(D19="","",MATCH(D19,Config!$B$8:$E$8,0)-1)</f>
        <v/>
      </c>
      <c r="F19" s="22" t="str">
        <f aca="false">IF(IF(OR($E$19="",$E$17=""),FALSE(),$E$19-$E$17&gt;=2),"Mirada sistémica: dices que cada dato se digita una sola vez, pero en P5 conviven varias versiones de clientes, productos o precios. ¿Cómo se mantienen iguales sin volver a digitarlos?","")</f>
        <v/>
      </c>
      <c r="G19" s="0" t="n">
        <v>0</v>
      </c>
      <c r="H19" s="23" t="n">
        <f aca="false">IF(IF(OR($E$19="",$E$17=""),FALSE(),$E$19-$E$17&gt;=2),1,0)</f>
        <v>0</v>
      </c>
    </row>
    <row r="20" customFormat="false" ht="78" hidden="false" customHeight="true" outlineLevel="0" collapsed="false">
      <c r="A20" s="18" t="n">
        <v>8</v>
      </c>
      <c r="B20" s="19" t="s">
        <v>39</v>
      </c>
      <c r="C20" s="24" t="s">
        <v>43</v>
      </c>
      <c r="D20" s="21"/>
      <c r="E20" s="18" t="str">
        <f aca="false">IF(D20="","",MATCH(D20,Config!$B$9:$E$9,0)-1)</f>
        <v/>
      </c>
      <c r="F20" s="22" t="str">
        <f aca="false">IF(IF(OR($E$15="",$E$20=""),FALSE(),$E$15-$E$20&gt;=2),"Mirada sistémica: en P4 indicaste que ves el trabajo en un solo lugar, y aquí que las herramientas compartidas casi no se usan. ¿Dónde está ese «solo lugar»?","")&amp;IF(AND(IF(OR($E$15="",$E$20=""),FALSE(),$E$15-$E$20&gt;=2),IF(OR($E$14="",$E$20=""),FALSE(),$E$14-$E$20&gt;=2)),CHAR(10),"")&amp;IF(IF(OR($E$14="",$E$20=""),FALSE(),$E$14-$E$20&gt;=2),"Mirada sistémica: en P3 indicaste que las tareas rutinarias están en un lugar compartido. ¿Cuál es, si casi no se usan herramientas compartidas?","")</f>
        <v/>
      </c>
      <c r="G20" s="0" t="n">
        <v>0</v>
      </c>
      <c r="H20" s="23" t="n">
        <f aca="false">IF(IF(OR($E$15="",$E$20=""),FALSE(),$E$15-$E$20&gt;=2),1,0)+IF(IF(OR($E$14="",$E$20=""),FALSE(),$E$14-$E$20&gt;=2),1,0)</f>
        <v>0</v>
      </c>
    </row>
    <row r="21" customFormat="false" ht="19.5" hidden="false" customHeight="true" outlineLevel="0" collapsed="false">
      <c r="A21" s="17" t="s">
        <v>44</v>
      </c>
      <c r="B21" s="17"/>
      <c r="C21" s="17"/>
      <c r="D21" s="17"/>
      <c r="E21" s="17"/>
      <c r="F21" s="17"/>
    </row>
    <row r="22" customFormat="false" ht="45.75" hidden="false" customHeight="true" outlineLevel="0" collapsed="false">
      <c r="A22" s="18" t="n">
        <v>9</v>
      </c>
      <c r="B22" s="19" t="s">
        <v>45</v>
      </c>
      <c r="C22" s="20" t="s">
        <v>46</v>
      </c>
      <c r="D22" s="21"/>
      <c r="E22" s="18" t="str">
        <f aca="false">IF(D22="","",MATCH(D22,Config!$B$10:$E$10,0)-1)</f>
        <v/>
      </c>
      <c r="F22" s="22"/>
      <c r="G22" s="0" t="n">
        <v>1</v>
      </c>
    </row>
    <row r="23" customFormat="false" ht="45.75" hidden="false" customHeight="true" outlineLevel="0" collapsed="false">
      <c r="A23" s="18" t="n">
        <v>10</v>
      </c>
      <c r="B23" s="19" t="s">
        <v>45</v>
      </c>
      <c r="C23" s="24" t="s">
        <v>47</v>
      </c>
      <c r="D23" s="21"/>
      <c r="E23" s="18" t="str">
        <f aca="false">IF(D23="","",MATCH(D23,Config!$B$11:$E$11,0)-1)</f>
        <v/>
      </c>
      <c r="F23" s="22"/>
      <c r="G23" s="0" t="n">
        <v>0</v>
      </c>
    </row>
    <row r="24" customFormat="false" ht="45.75" hidden="false" customHeight="true" outlineLevel="0" collapsed="false">
      <c r="A24" s="18" t="n">
        <v>11</v>
      </c>
      <c r="B24" s="19" t="s">
        <v>45</v>
      </c>
      <c r="C24" s="24" t="s">
        <v>48</v>
      </c>
      <c r="D24" s="21"/>
      <c r="E24" s="18" t="str">
        <f aca="false">IF(D24="","",MATCH(D24,Config!$B$12:$E$12,0)-1)</f>
        <v/>
      </c>
      <c r="F24" s="22"/>
      <c r="G24" s="0" t="n">
        <v>0</v>
      </c>
    </row>
    <row r="25" customFormat="false" ht="45.75" hidden="false" customHeight="true" outlineLevel="0" collapsed="false">
      <c r="A25" s="18" t="n">
        <v>12</v>
      </c>
      <c r="B25" s="19" t="s">
        <v>45</v>
      </c>
      <c r="C25" s="24" t="s">
        <v>49</v>
      </c>
      <c r="D25" s="21"/>
      <c r="E25" s="18" t="str">
        <f aca="false">IF(D25="","",MATCH(D25,Config!$B$13:$E$13,0)-1)</f>
        <v/>
      </c>
      <c r="F25" s="22"/>
      <c r="G25" s="0" t="n">
        <v>0</v>
      </c>
    </row>
    <row r="26" customFormat="false" ht="19.5" hidden="false" customHeight="true" outlineLevel="0" collapsed="false">
      <c r="A26" s="17" t="s">
        <v>50</v>
      </c>
      <c r="B26" s="17"/>
      <c r="C26" s="17"/>
      <c r="D26" s="17"/>
      <c r="E26" s="17"/>
      <c r="F26" s="17"/>
    </row>
    <row r="27" customFormat="false" ht="49.5" hidden="false" customHeight="true" outlineLevel="0" collapsed="false">
      <c r="A27" s="18" t="n">
        <v>13</v>
      </c>
      <c r="B27" s="19" t="s">
        <v>51</v>
      </c>
      <c r="C27" s="24" t="s">
        <v>52</v>
      </c>
      <c r="D27" s="21"/>
      <c r="E27" s="18" t="str">
        <f aca="false">IF(D27="","",MATCH(D27,Config!$B$14:$E$14,0)-1)</f>
        <v/>
      </c>
      <c r="F27" s="22" t="str">
        <f aca="false">IF(IF(OR($E$27="",$E$17=""),FALSE(),AND($E$27&gt;=3,$E$17&lt;=0)),"Mirada sistémica: conoces el margen de todos tus productos, pero en P5 los precios están en varios Excel personales. ¿Con cuál versión lo calculas?","")</f>
        <v/>
      </c>
      <c r="G27" s="0" t="n">
        <v>0</v>
      </c>
      <c r="H27" s="23" t="n">
        <f aca="false">IF(IF(OR($E$27="",$E$17=""),FALSE(),AND($E$27&gt;=3,$E$17&lt;=0)),1,0)</f>
        <v>0</v>
      </c>
    </row>
    <row r="28" customFormat="false" ht="49.5" hidden="false" customHeight="true" outlineLevel="0" collapsed="false">
      <c r="A28" s="18" t="n">
        <v>14</v>
      </c>
      <c r="B28" s="19" t="s">
        <v>51</v>
      </c>
      <c r="C28" s="24" t="s">
        <v>53</v>
      </c>
      <c r="D28" s="21"/>
      <c r="E28" s="18" t="str">
        <f aca="false">IF(D28="","",MATCH(D28,Config!$B$15:$E$15,0)-1)</f>
        <v/>
      </c>
      <c r="F28" s="22" t="str">
        <f aca="false">IF(IF(OR($E$28="",$E$18=""),FALSE(),AND($E$28&gt;=3,$E$18&lt;=1)),"Mirada sistémica: tu flujo de caja incluye el inventario, pero en P6 el stock no se revisa o no cuadra. ¿Qué tan confiable es esa cifra?","")</f>
        <v/>
      </c>
      <c r="G28" s="0" t="n">
        <v>0</v>
      </c>
      <c r="H28" s="23" t="n">
        <f aca="false">IF(IF(OR($E$28="",$E$18=""),FALSE(),AND($E$28&gt;=3,$E$18&lt;=1)),1,0)</f>
        <v>0</v>
      </c>
    </row>
    <row r="29" customFormat="false" ht="49.5" hidden="false" customHeight="true" outlineLevel="0" collapsed="false">
      <c r="A29" s="18" t="n">
        <v>15</v>
      </c>
      <c r="B29" s="19" t="s">
        <v>51</v>
      </c>
      <c r="C29" s="24" t="s">
        <v>54</v>
      </c>
      <c r="D29" s="21"/>
      <c r="E29" s="18" t="str">
        <f aca="false">IF(D29="","",MATCH(D29,Config!$B$16:$E$16,0)-1)</f>
        <v/>
      </c>
      <c r="F29" s="22" t="str">
        <f aca="false">IF(IF(OR($E$29="",$E$17=""),FALSE(),AND($E$29&gt;=3,$E$17&lt;=0)),"Mirada sistémica: mides indicadores con meta, pero en P5 la información oficial está repartida en varios Excel. ¿De dónde salen esos datos?","")</f>
        <v/>
      </c>
      <c r="G29" s="0" t="n">
        <v>0</v>
      </c>
      <c r="H29" s="23" t="n">
        <f aca="false">IF(IF(OR($E$29="",$E$17=""),FALSE(),AND($E$29&gt;=3,$E$17&lt;=0)),1,0)</f>
        <v>0</v>
      </c>
    </row>
    <row r="30" customFormat="false" ht="78" hidden="false" customHeight="true" outlineLevel="0" collapsed="false">
      <c r="A30" s="18" t="n">
        <v>16</v>
      </c>
      <c r="B30" s="19" t="s">
        <v>51</v>
      </c>
      <c r="C30" s="24" t="s">
        <v>55</v>
      </c>
      <c r="D30" s="21"/>
      <c r="E30" s="18" t="str">
        <f aca="false">IF(D30="","",MATCH(D30,Config!$B$17:$E$17,0)-1)</f>
        <v/>
      </c>
      <c r="F30" s="22" t="str">
        <f aca="false">IF(IF(OR($E$23="",$E$30=""),FALSE(),AND($E$23&gt;=2,$E$30&lt;=0)),"Mirada sistémica: en P10 los imprevistos son poco frecuentes, pero aquí el tiempo se va apagando incendios. ¿Qué ocupa realmente el día del equipo?","")&amp;IF(AND(IF(OR($E$23="",$E$30=""),FALSE(),AND($E$23&gt;=2,$E$30&lt;=0)),IF(OR($E$30="",$E$23=""),FALSE(),AND($E$30&gt;=3,$E$23&lt;=0))),CHAR(10),"")&amp;IF(IF(OR($E$30="",$E$23=""),FALSE(),AND($E$30&gt;=3,$E$23&lt;=0)),"Mirada sistémica: en P10 indicaste imprevistos a diario, y aquí tiempo reservado para mejorar. Si es así, ¡muy bien! Si no, vale la pena revisar una de las dos.","")</f>
        <v/>
      </c>
      <c r="G30" s="0" t="n">
        <v>0</v>
      </c>
      <c r="H30" s="23" t="n">
        <f aca="false">IF(IF(OR($E$23="",$E$30=""),FALSE(),AND($E$23&gt;=2,$E$30&lt;=0)),1,0)+IF(IF(OR($E$30="",$E$23=""),FALSE(),AND($E$30&gt;=3,$E$23&lt;=0)),1,0)</f>
        <v>0</v>
      </c>
    </row>
    <row r="31" customFormat="false" ht="19.5" hidden="false" customHeight="true" outlineLevel="0" collapsed="false">
      <c r="A31" s="17" t="s">
        <v>56</v>
      </c>
      <c r="B31" s="17"/>
      <c r="C31" s="17"/>
      <c r="D31" s="17"/>
      <c r="E31" s="17"/>
      <c r="F31" s="17"/>
    </row>
    <row r="32" customFormat="false" ht="49.5" hidden="false" customHeight="true" outlineLevel="0" collapsed="false">
      <c r="A32" s="18" t="n">
        <v>17</v>
      </c>
      <c r="B32" s="19" t="s">
        <v>57</v>
      </c>
      <c r="C32" s="24" t="s">
        <v>58</v>
      </c>
      <c r="D32" s="21"/>
      <c r="E32" s="18" t="str">
        <f aca="false">IF(D32="","",MATCH(D32,Config!$B$18:$E$18,0)-1)</f>
        <v/>
      </c>
      <c r="F32" s="22" t="str">
        <f aca="false">IF(IF(OR($E$32="",$E$14=""),FALSE(),AND($E$32&gt;=3,$E$14&lt;=1)),"Mirada sistémica: los procesos están documentados y al día, pero en P3 las tareas rutinarias se llevan de memoria o en listas personales. ¿Esos documentos se usan en el día a día?","")</f>
        <v/>
      </c>
      <c r="G32" s="0" t="n">
        <v>0</v>
      </c>
      <c r="H32" s="23" t="n">
        <f aca="false">IF(IF(OR($E$32="",$E$14=""),FALSE(),AND($E$32&gt;=3,$E$14&lt;=1)),1,0)</f>
        <v>0</v>
      </c>
    </row>
    <row r="33" customFormat="false" ht="78" hidden="false" customHeight="true" outlineLevel="0" collapsed="false">
      <c r="A33" s="18" t="n">
        <v>18</v>
      </c>
      <c r="B33" s="19" t="s">
        <v>57</v>
      </c>
      <c r="C33" s="24" t="s">
        <v>59</v>
      </c>
      <c r="D33" s="21"/>
      <c r="E33" s="18" t="str">
        <f aca="false">IF(D33="","",MATCH(D33,Config!$B$19:$E$19,0)-1)</f>
        <v/>
      </c>
      <c r="F33" s="22" t="str">
        <f aca="false">IF(IF(OR($E$33="",$E$32=""),FALSE(),AND($E$33&gt;=3,$E$32&lt;=1)),"Mirada sistémica: la operación seguiría sin tu persona clave, pero en P17 los procesos no están descritos en un lugar común. ¿Dónde queda lo que esa persona sabe?","")&amp;IF(AND(IF(OR($E$33="",$E$32=""),FALSE(),AND($E$33&gt;=3,$E$32&lt;=1)),IF(OR($E$33="",$E$13=""),FALSE(),AND($E$33&gt;=3,$E$13&lt;=1))),CHAR(10),"")&amp;IF(IF(OR($E$33="",$E$13=""),FALSE(),AND($E$33&gt;=3,$E$13&lt;=1)),"Mirada sistémica: en P2 las responsabilidades no están definidas por escrito. Sin eso, ¿quién sabría qué cubrir si falta la persona clave?","")</f>
        <v/>
      </c>
      <c r="G33" s="0" t="n">
        <v>0</v>
      </c>
      <c r="H33" s="23" t="n">
        <f aca="false">IF(IF(OR($E$33="",$E$32=""),FALSE(),AND($E$33&gt;=3,$E$32&lt;=1)),1,0)+IF(IF(OR($E$33="",$E$13=""),FALSE(),AND($E$33&gt;=3,$E$13&lt;=1)),1,0)</f>
        <v>0</v>
      </c>
    </row>
    <row r="34" customFormat="false" ht="78" hidden="false" customHeight="true" outlineLevel="0" collapsed="false">
      <c r="A34" s="18" t="n">
        <v>19</v>
      </c>
      <c r="B34" s="19" t="s">
        <v>57</v>
      </c>
      <c r="C34" s="24" t="s">
        <v>60</v>
      </c>
      <c r="D34" s="21"/>
      <c r="E34" s="18" t="str">
        <f aca="false">IF(D34="","",MATCH(D34,Config!$B$20:$E$20,0)-1)</f>
        <v/>
      </c>
      <c r="F34" s="22" t="str">
        <f aca="false">IF(IF(OR($E$34="",$E$22=""),FALSE(),AND($E$34&gt;=3,$E$22&lt;=1)),"Mirada sistémica: el equipo decide dentro de reglas claras, pero en P9 las situaciones típicas se resuelven sin una forma acordada. ¿Qué reglas usa al decidir?","")&amp;IF(AND(IF(OR($E$34="",$E$22=""),FALSE(),AND($E$34&gt;=3,$E$22&lt;=1)),IF(OR($E$34="",$E$25=""),FALSE(),AND($E$34&gt;=3,$E$25&lt;=1))),CHAR(10),"")&amp;IF(IF(OR($E$34="",$E$25=""),FALSE(),AND($E$34&gt;=3,$E$25&lt;=1)),"Mirada sistémica: el equipo decide dentro de reglas, pero en P12 los límites y aprobaciones no existen o se saltan. ¿Hasta dónde puede decidir?","")</f>
        <v/>
      </c>
      <c r="G34" s="0" t="n">
        <v>0</v>
      </c>
      <c r="H34" s="23" t="n">
        <f aca="false">IF(IF(OR($E$34="",$E$22=""),FALSE(),AND($E$34&gt;=3,$E$22&lt;=1)),1,0)+IF(IF(OR($E$34="",$E$25=""),FALSE(),AND($E$34&gt;=3,$E$25&lt;=1)),1,0)</f>
        <v>0</v>
      </c>
    </row>
    <row r="35" customFormat="false" ht="49.5" hidden="false" customHeight="true" outlineLevel="0" collapsed="false">
      <c r="A35" s="18" t="n">
        <v>20</v>
      </c>
      <c r="B35" s="19" t="s">
        <v>57</v>
      </c>
      <c r="C35" s="24" t="s">
        <v>61</v>
      </c>
      <c r="D35" s="21"/>
      <c r="E35" s="18" t="str">
        <f aca="false">IF(D35="","",MATCH(D35,Config!$B$21:$E$21,0)-1)</f>
        <v/>
      </c>
      <c r="F35" s="22" t="str">
        <f aca="false">IF(IF(OR($E$35="",$E$34=""),FALSE(),AND($E$35&gt;=3,$E$34&lt;=0)),"Mirada sistémica: el equipo participa en definir procesos, pero en P19 el dueño decide casi todo. ¿Cómo conviven ambas cosas?","")</f>
        <v/>
      </c>
      <c r="G35" s="0" t="n">
        <v>0</v>
      </c>
      <c r="H35" s="23" t="n">
        <f aca="false">IF(IF(OR($E$35="",$E$34=""),FALSE(),AND($E$35&gt;=3,$E$34&lt;=0)),1,0)</f>
        <v>0</v>
      </c>
    </row>
    <row r="37" customFormat="false" ht="15" hidden="false" customHeight="false" outlineLevel="0" collapsed="false">
      <c r="C37" s="25" t="s">
        <v>62</v>
      </c>
      <c r="D37" s="13" t="str">
        <f aca="false">COUNTA(D12:D35)&amp;" de 20"</f>
        <v>0 de 20</v>
      </c>
    </row>
    <row r="38" customFormat="false" ht="15" hidden="false" customHeight="false" outlineLevel="0" collapsed="false">
      <c r="C38" s="25" t="s">
        <v>63</v>
      </c>
      <c r="D38" s="26" t="n">
        <f aca="false">SUM(E12:E35)</f>
        <v>0</v>
      </c>
    </row>
    <row r="39" customFormat="false" ht="15" hidden="false" customHeight="false" outlineLevel="0" collapsed="false">
      <c r="C39" s="27" t="str">
        <f aca="false">HYPERLINK("#Resultado!A1","Ver mi resultado →")</f>
        <v>Ver mi resultado →</v>
      </c>
    </row>
    <row r="41" customFormat="false" ht="36" hidden="false" customHeight="true" outlineLevel="0" collapsed="false">
      <c r="A41" s="28" t="s">
        <v>64</v>
      </c>
      <c r="B41" s="28"/>
      <c r="C41" s="28"/>
      <c r="D41" s="28"/>
      <c r="E41" s="28"/>
      <c r="F41" s="28"/>
    </row>
  </sheetData>
  <sheetProtection sheet="true" formatColumns="false" formatRows="false"/>
  <mergeCells count="11">
    <mergeCell ref="C4:D4"/>
    <mergeCell ref="C5:D5"/>
    <mergeCell ref="C6:D6"/>
    <mergeCell ref="C7:D7"/>
    <mergeCell ref="C8:D8"/>
    <mergeCell ref="A11:F11"/>
    <mergeCell ref="A16:F16"/>
    <mergeCell ref="A21:F21"/>
    <mergeCell ref="A26:F26"/>
    <mergeCell ref="A31:F31"/>
    <mergeCell ref="A41:F41"/>
  </mergeCells>
  <conditionalFormatting sqref="F12:F35">
    <cfRule type="expression" priority="2" aboveAverage="0" equalAverage="0" bottom="0" percent="0" rank="0" text="" dxfId="0">
      <formula>LEN(F12)&gt;0</formula>
    </cfRule>
  </conditionalFormatting>
  <dataValidations count="21">
    <dataValidation allowBlank="true" error="Escribe el número de personas (solo el número)." errorStyle="stop" operator="greaterThan" showDropDown="false" showErrorMessage="true" showInputMessage="false" sqref="C7" type="whole">
      <formula1>0</formula1>
      <formula2>0</formula2>
    </dataValidation>
    <dataValidation allowBlank="true" error="Elige una de las 4 respuestas de la lista." errorStyle="stop" errorTitle="Respuesta no válida" operator="between" showDropDown="false" showErrorMessage="true" showInputMessage="false" sqref="D12" type="list">
      <formula1>Config!$B$2:$E$2</formula1>
      <formula2>0</formula2>
    </dataValidation>
    <dataValidation allowBlank="true" error="Elige una de las 4 respuestas de la lista." errorStyle="stop" errorTitle="Respuesta no válida" operator="between" showDropDown="false" showErrorMessage="true" showInputMessage="false" sqref="D13" type="list">
      <formula1>Config!$B$3:$E$3</formula1>
      <formula2>0</formula2>
    </dataValidation>
    <dataValidation allowBlank="true" error="Elige una de las 4 respuestas de la lista." errorStyle="stop" errorTitle="Respuesta no válida" operator="between" showDropDown="false" showErrorMessage="true" showInputMessage="false" sqref="D14" type="list">
      <formula1>Config!$B$4:$E$4</formula1>
      <formula2>0</formula2>
    </dataValidation>
    <dataValidation allowBlank="true" error="Elige una de las 4 respuestas de la lista." errorStyle="stop" errorTitle="Respuesta no válida" operator="between" showDropDown="false" showErrorMessage="true" showInputMessage="false" sqref="D15" type="list">
      <formula1>Config!$B$5:$E$5</formula1>
      <formula2>0</formula2>
    </dataValidation>
    <dataValidation allowBlank="true" error="Elige una de las 4 respuestas de la lista." errorStyle="stop" errorTitle="Respuesta no válida" operator="between" showDropDown="false" showErrorMessage="true" showInputMessage="false" sqref="D17" type="list">
      <formula1>Config!$B$6:$E$6</formula1>
      <formula2>0</formula2>
    </dataValidation>
    <dataValidation allowBlank="true" error="Elige una de las 4 respuestas de la lista." errorStyle="stop" errorTitle="Respuesta no válida" operator="between" showDropDown="false" showErrorMessage="true" showInputMessage="false" sqref="D18" type="list">
      <formula1>Config!$B$7:$E$7</formula1>
      <formula2>0</formula2>
    </dataValidation>
    <dataValidation allowBlank="true" error="Elige una de las 4 respuestas de la lista." errorStyle="stop" errorTitle="Respuesta no válida" operator="between" showDropDown="false" showErrorMessage="true" showInputMessage="false" sqref="D19" type="list">
      <formula1>Config!$B$8:$E$8</formula1>
      <formula2>0</formula2>
    </dataValidation>
    <dataValidation allowBlank="true" error="Elige una de las 4 respuestas de la lista." errorStyle="stop" errorTitle="Respuesta no válida" operator="between" showDropDown="false" showErrorMessage="true" showInputMessage="false" sqref="D20" type="list">
      <formula1>Config!$B$9:$E$9</formula1>
      <formula2>0</formula2>
    </dataValidation>
    <dataValidation allowBlank="true" error="Elige una de las 4 respuestas de la lista." errorStyle="stop" errorTitle="Respuesta no válida" operator="between" showDropDown="false" showErrorMessage="true" showInputMessage="false" sqref="D22" type="list">
      <formula1>Config!$B$10:$E$10</formula1>
      <formula2>0</formula2>
    </dataValidation>
    <dataValidation allowBlank="true" error="Elige una de las 4 respuestas de la lista." errorStyle="stop" errorTitle="Respuesta no válida" operator="between" showDropDown="false" showErrorMessage="true" showInputMessage="false" sqref="D23" type="list">
      <formula1>Config!$B$11:$E$11</formula1>
      <formula2>0</formula2>
    </dataValidation>
    <dataValidation allowBlank="true" error="Elige una de las 4 respuestas de la lista." errorStyle="stop" errorTitle="Respuesta no válida" operator="between" showDropDown="false" showErrorMessage="true" showInputMessage="false" sqref="D24" type="list">
      <formula1>Config!$B$12:$E$12</formula1>
      <formula2>0</formula2>
    </dataValidation>
    <dataValidation allowBlank="true" error="Elige una de las 4 respuestas de la lista." errorStyle="stop" errorTitle="Respuesta no válida" operator="between" showDropDown="false" showErrorMessage="true" showInputMessage="false" sqref="D25" type="list">
      <formula1>Config!$B$13:$E$13</formula1>
      <formula2>0</formula2>
    </dataValidation>
    <dataValidation allowBlank="true" error="Elige una de las 4 respuestas de la lista." errorStyle="stop" errorTitle="Respuesta no válida" operator="between" showDropDown="false" showErrorMessage="true" showInputMessage="false" sqref="D27" type="list">
      <formula1>Config!$B$14:$E$14</formula1>
      <formula2>0</formula2>
    </dataValidation>
    <dataValidation allowBlank="true" error="Elige una de las 4 respuestas de la lista." errorStyle="stop" errorTitle="Respuesta no válida" operator="between" showDropDown="false" showErrorMessage="true" showInputMessage="false" sqref="D28" type="list">
      <formula1>Config!$B$15:$E$15</formula1>
      <formula2>0</formula2>
    </dataValidation>
    <dataValidation allowBlank="true" error="Elige una de las 4 respuestas de la lista." errorStyle="stop" errorTitle="Respuesta no válida" operator="between" showDropDown="false" showErrorMessage="true" showInputMessage="false" sqref="D29" type="list">
      <formula1>Config!$B$16:$E$16</formula1>
      <formula2>0</formula2>
    </dataValidation>
    <dataValidation allowBlank="true" error="Elige una de las 4 respuestas de la lista." errorStyle="stop" errorTitle="Respuesta no válida" operator="between" showDropDown="false" showErrorMessage="true" showInputMessage="false" sqref="D30" type="list">
      <formula1>Config!$B$17:$E$17</formula1>
      <formula2>0</formula2>
    </dataValidation>
    <dataValidation allowBlank="true" error="Elige una de las 4 respuestas de la lista." errorStyle="stop" errorTitle="Respuesta no válida" operator="between" showDropDown="false" showErrorMessage="true" showInputMessage="false" sqref="D32" type="list">
      <formula1>Config!$B$18:$E$18</formula1>
      <formula2>0</formula2>
    </dataValidation>
    <dataValidation allowBlank="true" error="Elige una de las 4 respuestas de la lista." errorStyle="stop" errorTitle="Respuesta no válida" operator="between" showDropDown="false" showErrorMessage="true" showInputMessage="false" sqref="D33" type="list">
      <formula1>Config!$B$19:$E$19</formula1>
      <formula2>0</formula2>
    </dataValidation>
    <dataValidation allowBlank="true" error="Elige una de las 4 respuestas de la lista." errorStyle="stop" errorTitle="Respuesta no válida" operator="between" showDropDown="false" showErrorMessage="true" showInputMessage="false" sqref="D34" type="list">
      <formula1>Config!$B$20:$E$20</formula1>
      <formula2>0</formula2>
    </dataValidation>
    <dataValidation allowBlank="true" error="Elige una de las 4 respuestas de la lista." errorStyle="stop" errorTitle="Respuesta no válida" operator="between" showDropDown="false" showErrorMessage="true" showInputMessage="false" sqref="D35" type="list">
      <formula1>Config!$B$21:$E$21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4" min="3" style="0" width="12"/>
    <col collapsed="false" customWidth="true" hidden="false" outlineLevel="0" max="5" min="5" style="0" width="70"/>
    <col collapsed="false" customWidth="true" hidden="false" outlineLevel="0" max="6" min="6" style="0" width="3"/>
    <col collapsed="false" customWidth="true" hidden="true" outlineLevel="0" max="8" min="7" style="0" width="10"/>
  </cols>
  <sheetData>
    <row r="2" customFormat="false" ht="22.05" hidden="false" customHeight="false" outlineLevel="0" collapsed="false">
      <c r="B2" s="29" t="s">
        <v>65</v>
      </c>
    </row>
    <row r="3" customFormat="false" ht="15" hidden="false" customHeight="false" outlineLevel="0" collapsed="false">
      <c r="B3" s="4" t="str">
        <f aca="false">IF(Test!C4="","Completa el nombre de tu empresa en la hoja Test",Test!C4)</f>
        <v>Completa el nombre de tu empresa en la hoja Test</v>
      </c>
    </row>
    <row r="5" customFormat="false" ht="15" hidden="false" customHeight="false" outlineLevel="0" collapsed="false">
      <c r="B5" s="16" t="s">
        <v>27</v>
      </c>
      <c r="C5" s="16" t="s">
        <v>66</v>
      </c>
      <c r="D5" s="16" t="s">
        <v>67</v>
      </c>
      <c r="E5" s="16" t="s">
        <v>68</v>
      </c>
    </row>
    <row r="6" customFormat="false" ht="30" hidden="false" customHeight="true" outlineLevel="0" collapsed="false">
      <c r="B6" s="20" t="s">
        <v>33</v>
      </c>
      <c r="C6" s="30" t="str">
        <f aca="false">SUMIF(Test!$B$12:$B$35,B6,Test!$E$12:$E$35)&amp;" / 12"</f>
        <v>0 / 12</v>
      </c>
      <c r="D6" s="31" t="n">
        <f aca="false">SUMIF(Test!$B$12:$B$35,B6,Test!$E$12:$E$35)/12</f>
        <v>0</v>
      </c>
      <c r="E6" s="24" t="s">
        <v>69</v>
      </c>
      <c r="G6" s="32" t="n">
        <f aca="false">D6+ROW()/100000</f>
        <v>6E-005</v>
      </c>
    </row>
    <row r="7" customFormat="false" ht="30" hidden="false" customHeight="true" outlineLevel="0" collapsed="false">
      <c r="B7" s="20" t="s">
        <v>39</v>
      </c>
      <c r="C7" s="30" t="str">
        <f aca="false">SUMIF(Test!$B$12:$B$35,B7,Test!$E$12:$E$35)&amp;" / 12"</f>
        <v>0 / 12</v>
      </c>
      <c r="D7" s="31" t="n">
        <f aca="false">SUMIF(Test!$B$12:$B$35,B7,Test!$E$12:$E$35)/12</f>
        <v>0</v>
      </c>
      <c r="E7" s="24" t="s">
        <v>70</v>
      </c>
      <c r="G7" s="32" t="n">
        <f aca="false">D7+ROW()/100000</f>
        <v>7E-005</v>
      </c>
    </row>
    <row r="8" customFormat="false" ht="30" hidden="false" customHeight="true" outlineLevel="0" collapsed="false">
      <c r="B8" s="20" t="s">
        <v>45</v>
      </c>
      <c r="C8" s="30" t="str">
        <f aca="false">SUMIF(Test!$B$12:$B$35,B8,Test!$E$12:$E$35)&amp;" / 12"</f>
        <v>0 / 12</v>
      </c>
      <c r="D8" s="31" t="n">
        <f aca="false">SUMIF(Test!$B$12:$B$35,B8,Test!$E$12:$E$35)/12</f>
        <v>0</v>
      </c>
      <c r="E8" s="24" t="s">
        <v>71</v>
      </c>
      <c r="G8" s="32" t="n">
        <f aca="false">D8+ROW()/100000</f>
        <v>8E-005</v>
      </c>
    </row>
    <row r="9" customFormat="false" ht="30" hidden="false" customHeight="true" outlineLevel="0" collapsed="false">
      <c r="B9" s="20" t="s">
        <v>51</v>
      </c>
      <c r="C9" s="30" t="str">
        <f aca="false">SUMIF(Test!$B$12:$B$35,B9,Test!$E$12:$E$35)&amp;" / 12"</f>
        <v>0 / 12</v>
      </c>
      <c r="D9" s="31" t="n">
        <f aca="false">SUMIF(Test!$B$12:$B$35,B9,Test!$E$12:$E$35)/12</f>
        <v>0</v>
      </c>
      <c r="E9" s="24" t="s">
        <v>72</v>
      </c>
      <c r="G9" s="32" t="n">
        <f aca="false">D9+ROW()/100000</f>
        <v>9E-005</v>
      </c>
    </row>
    <row r="10" customFormat="false" ht="30" hidden="false" customHeight="true" outlineLevel="0" collapsed="false">
      <c r="B10" s="20" t="s">
        <v>57</v>
      </c>
      <c r="C10" s="30" t="str">
        <f aca="false">SUMIF(Test!$B$12:$B$35,B10,Test!$E$12:$E$35)&amp;" / 12"</f>
        <v>0 / 12</v>
      </c>
      <c r="D10" s="31" t="n">
        <f aca="false">SUMIF(Test!$B$12:$B$35,B10,Test!$E$12:$E$35)/12</f>
        <v>0</v>
      </c>
      <c r="E10" s="24" t="s">
        <v>73</v>
      </c>
      <c r="G10" s="32" t="n">
        <f aca="false">D10+ROW()/100000</f>
        <v>0.0001</v>
      </c>
    </row>
    <row r="12" customFormat="false" ht="15" hidden="false" customHeight="false" outlineLevel="0" collapsed="false">
      <c r="B12" s="33" t="s">
        <v>74</v>
      </c>
      <c r="C12" s="34" t="str">
        <f aca="false">SUM(Test!$E$12:$E$35)&amp;" / 60"</f>
        <v>0 / 60</v>
      </c>
      <c r="D12" s="35" t="n">
        <f aca="false">SUM(Test!$E$12:$E$35)/60</f>
        <v>0</v>
      </c>
      <c r="E12" s="36" t="str">
        <f aca="false">COUNTA(Test!$D$12:$D$35)&amp;" de 20 preguntas respondidas"</f>
        <v>0 de 20 preguntas respondidas</v>
      </c>
      <c r="H12" s="23" t="n">
        <f aca="false">SUMPRODUCT((Test!$G$12:$G$35=1)*(Test!$D$12:$D$35&lt;&gt;"")*(Test!$E$12:$E$35=0))</f>
        <v>0</v>
      </c>
    </row>
    <row r="13" customFormat="false" ht="15" hidden="false" customHeight="false" outlineLevel="0" collapsed="false">
      <c r="H13" s="0" t="n">
        <f aca="false">SUM(Test!$H$12:$H$35)</f>
        <v>0</v>
      </c>
    </row>
    <row r="14" customFormat="false" ht="15" hidden="false" customHeight="false" outlineLevel="0" collapsed="false">
      <c r="B14" s="2" t="s">
        <v>75</v>
      </c>
    </row>
    <row r="15" customFormat="false" ht="39.75" hidden="false" customHeight="true" outlineLevel="0" collapsed="false">
      <c r="B15" s="37" t="str">
        <f aca="false">IF(COUNTA(Test!$D$12:$D$35)&lt;20,"FALTAN "&amp;(20-COUNTA(Test!$D$12:$D$35))&amp;" RESPUESTAS",IF(AND(D12&gt;=Config!$M$2,MIN(D6:D10)&gt;=Config!$M$4,$H$12=0),"LISTA PARA UN SISTEMA",IF(D12&gt;=Config!$M$3,"ZONA INTERMEDIA","TODAVÍA NO")))</f>
        <v>FALTAN 20 RESPUESTAS</v>
      </c>
      <c r="C15" s="37"/>
      <c r="D15" s="37"/>
      <c r="E15" s="37"/>
    </row>
    <row r="16" customFormat="false" ht="25.5" hidden="false" customHeight="true" outlineLevel="0" collapsed="false">
      <c r="B16" s="38" t="str">
        <f aca="false">IF(B15="LISTA PARA UN SISTEMA","Tu operación tiene reglas, datos y responsables suficientemente claros para que un software los ejecute. El riesgo ahora está en elegir bien: define tus requerimientos reales antes de hablar con proveedores.",IF(B15="ZONA INTERMEDIA",IF(D12&gt;=Config!$M$2,IF($H$12&gt;0,"Tu puntaje total es alto, pero tienes "&amp;$H$12&amp;" pregunta(s) crítica(s) ★ en cero. Sin eso resuelto, un ERP no tiene sobre qué funcionar: es lo primero que hay que ordenar.","Tu puntaje total es alto, pero al menos un área está bajo el 50%. Una cadena es tan fuerte como su eslabón más débil: ordena esa área antes de digitalizar, o el sistema amplificará justo ese problema."),"Tienes bases, pero hay áreas que un sistema no podrá resolver por ti. Si implementas hoy, el software va a automatizar parte del desorden. Ordenar primero las dos áreas más débiles reduce mucho ese riesgo."),IF(B15="TODAVÍA NO","Hoy la operación depende de personas y memoria más que de reglas. Un ERP en este punto probablemente acelere el desorden. La buena noticia: las primeras acciones son simples y no requieren comprar nada.","Responde las 20 preguntas en la hoja Test para ver tu veredicto.")))</f>
        <v>Responde las 20 preguntas en la hoja Test para ver tu veredicto.</v>
      </c>
      <c r="C16" s="38"/>
      <c r="D16" s="38"/>
      <c r="E16" s="38"/>
    </row>
    <row r="17" customFormat="false" ht="25.5" hidden="false" customHeight="true" outlineLevel="0" collapsed="false">
      <c r="B17" s="38"/>
      <c r="C17" s="38"/>
      <c r="D17" s="38"/>
      <c r="E17" s="38"/>
    </row>
    <row r="18" customFormat="false" ht="30" hidden="false" customHeight="true" outlineLevel="0" collapsed="false">
      <c r="B18" s="39" t="str">
        <f aca="false">IF($H$13=0,"","Para revisar: "&amp;$H$13&amp;IF($H$13=1," par de respuestas relacionadas no calza"," pares de respuestas relacionadas no calzan")&amp;" entre sí. Mira los comentarios de la columna «Mirada sistémica» en la hoja Test: puedes mantener o ajustar tus respuestas.")</f>
        <v/>
      </c>
      <c r="C18" s="39"/>
      <c r="D18" s="39"/>
      <c r="E18" s="39"/>
    </row>
    <row r="19" customFormat="false" ht="25.5" hidden="false" customHeight="true" outlineLevel="0" collapsed="false">
      <c r="B19" s="40" t="str">
        <f aca="false">IF(OR(COUNTA(Test!$D$12:$D$35)&lt;20,NOT(ISNUMBER(Test!C7))),"",IF(Test!C7&lt;10,"Contexto por tamaño: con menos de 10 personas es normal puntuar bajo en indicadores y documentación. Prioriza el flujo del pedido y la fuente única de datos.",IF(Test!C7&gt;=50,"Contexto por tamaño: con 50 o más personas, la dependencia de personas clave y la falta de visibilidad del trabajo pesan mucho más. Dale especial peso a esas preguntas.","")))</f>
        <v/>
      </c>
      <c r="C19" s="40"/>
      <c r="D19" s="40"/>
      <c r="E19" s="40"/>
    </row>
    <row r="20" customFormat="false" ht="15" hidden="false" customHeight="false" outlineLevel="0" collapsed="false">
      <c r="B20" s="2" t="s">
        <v>76</v>
      </c>
    </row>
    <row r="21" customFormat="false" ht="43.5" hidden="false" customHeight="true" outlineLevel="0" collapsed="false">
      <c r="B21" s="41" t="str">
        <f aca="false">IF(OR(COUNTA(Test!$D$12:$D$35)&lt;20,B15="LISTA PARA UN SISTEMA"),"","Paso 0, para todos")</f>
        <v/>
      </c>
      <c r="C21" s="42" t="str">
        <f aca="false">IF(OR(COUNTA(Test!$D$12:$D$35)&lt;20,B15="LISTA PARA UN SISTEMA"),"","Durante 30 días, anota cada error o imprevisto en una planilla compartida: qué pasó, cómo se resolvió y una acción para que no se repita. Es el primer sistema recomendado para empresas que viven apagando incendios, y te da datos reales de dónde está el desorden.")</f>
        <v/>
      </c>
      <c r="D21" s="42"/>
      <c r="E21" s="42"/>
    </row>
    <row r="22" customFormat="false" ht="21.75" hidden="false" customHeight="true" outlineLevel="0" collapsed="false">
      <c r="B22" s="33" t="str">
        <f aca="false">IF(COUNTA(Test!$D$12:$D$35)=0,"—",INDEX($B$6:$B$10,MATCH(SMALL($G$6:$G$10,1),$G$6:$G$10,0)))</f>
        <v>—</v>
      </c>
      <c r="C22" s="43" t="str">
        <f aca="false">IF(COUNTA(Test!$D$12:$D$35)=0,"",INDEX($D$6:$D$10,MATCH(SMALL($G$6:$G$10,1),$G$6:$G$10,0)))</f>
        <v/>
      </c>
      <c r="D22" s="44" t="str">
        <f aca="false">IF(COUNTA(Test!$D$12:$D$35)=0,"",INDEX(Config!$J$2:$J$6,MATCH(B22,Config!$H$2:$H$6,0)))</f>
        <v/>
      </c>
      <c r="E22" s="44"/>
    </row>
    <row r="23" customFormat="false" ht="21.75" hidden="false" customHeight="true" outlineLevel="0" collapsed="false">
      <c r="B23" s="45" t="s">
        <v>77</v>
      </c>
      <c r="C23" s="46"/>
      <c r="D23" s="44"/>
      <c r="E23" s="44"/>
    </row>
    <row r="24" customFormat="false" ht="21.75" hidden="false" customHeight="true" outlineLevel="0" collapsed="false">
      <c r="B24" s="33" t="str">
        <f aca="false">IF(COUNTA(Test!$D$12:$D$35)=0,"—",INDEX($B$6:$B$10,MATCH(SMALL($G$6:$G$10,2),$G$6:$G$10,0)))</f>
        <v>—</v>
      </c>
      <c r="C24" s="43" t="str">
        <f aca="false">IF(COUNTA(Test!$D$12:$D$35)=0,"",INDEX($D$6:$D$10,MATCH(SMALL($G$6:$G$10,2),$G$6:$G$10,0)))</f>
        <v/>
      </c>
      <c r="D24" s="44" t="str">
        <f aca="false">IF(COUNTA(Test!$D$12:$D$35)=0,"",INDEX(Config!$J$2:$J$6,MATCH(B24,Config!$H$2:$H$6,0)))</f>
        <v/>
      </c>
      <c r="E24" s="44"/>
    </row>
    <row r="25" customFormat="false" ht="21.75" hidden="false" customHeight="true" outlineLevel="0" collapsed="false">
      <c r="B25" s="45" t="s">
        <v>78</v>
      </c>
      <c r="C25" s="46"/>
      <c r="D25" s="44"/>
      <c r="E25" s="44"/>
    </row>
    <row r="27" customFormat="false" ht="30" hidden="false" customHeight="true" outlineLevel="0" collapsed="false">
      <c r="B27" s="47" t="str">
        <f aca="false">HYPERLINK("https://www.procesosclaros.cl/contacto","¿Quieres revisar este resultado conmigo? Agenda el diagnóstico gratuito de 30 minutos →")</f>
        <v>¿Quieres revisar este resultado conmigo? Agenda el diagnóstico gratuito de 30 minutos →</v>
      </c>
      <c r="C27" s="47"/>
      <c r="D27" s="47"/>
      <c r="E27" s="47"/>
    </row>
    <row r="30" customFormat="false" ht="15" hidden="false" customHeight="false" outlineLevel="0" collapsed="false">
      <c r="B30" s="2" t="s">
        <v>79</v>
      </c>
    </row>
    <row r="31" customFormat="false" ht="15" hidden="false" customHeight="true" outlineLevel="0" collapsed="false">
      <c r="B31" s="48" t="s">
        <v>80</v>
      </c>
      <c r="C31" s="48" t="s">
        <v>81</v>
      </c>
      <c r="D31" s="49" t="s">
        <v>82</v>
      </c>
      <c r="E31" s="49"/>
    </row>
    <row r="32" customFormat="false" ht="25.5" hidden="false" customHeight="true" outlineLevel="0" collapsed="false">
      <c r="B32" s="50" t="s">
        <v>83</v>
      </c>
      <c r="C32" s="51" t="str">
        <f aca="false">IF(Test!E13="","—",Test!E13&amp;" / 3")</f>
        <v>—</v>
      </c>
      <c r="D32" s="52" t="s">
        <v>84</v>
      </c>
      <c r="E32" s="52"/>
    </row>
    <row r="33" customFormat="false" ht="25.5" hidden="false" customHeight="true" outlineLevel="0" collapsed="false">
      <c r="B33" s="50" t="s">
        <v>85</v>
      </c>
      <c r="C33" s="51" t="str">
        <f aca="false">IF(Test!E14="","—",Test!E14&amp;" / 3")</f>
        <v>—</v>
      </c>
      <c r="D33" s="52" t="s">
        <v>86</v>
      </c>
      <c r="E33" s="52"/>
    </row>
    <row r="34" customFormat="false" ht="25.5" hidden="false" customHeight="true" outlineLevel="0" collapsed="false">
      <c r="B34" s="50" t="s">
        <v>87</v>
      </c>
      <c r="C34" s="51" t="str">
        <f aca="false">IF(Test!E15="","—",Test!E15&amp;" / 3")</f>
        <v>—</v>
      </c>
      <c r="D34" s="52" t="s">
        <v>88</v>
      </c>
      <c r="E34" s="52"/>
    </row>
    <row r="35" customFormat="false" ht="25.5" hidden="false" customHeight="true" outlineLevel="0" collapsed="false">
      <c r="B35" s="50" t="s">
        <v>89</v>
      </c>
      <c r="C35" s="51" t="str">
        <f aca="false">IF(Test!E20="","—",Test!E20&amp;" / 3")</f>
        <v>—</v>
      </c>
      <c r="D35" s="52" t="s">
        <v>90</v>
      </c>
      <c r="E35" s="52"/>
    </row>
    <row r="36" customFormat="false" ht="25.5" hidden="false" customHeight="true" outlineLevel="0" collapsed="false">
      <c r="B36" s="50" t="s">
        <v>91</v>
      </c>
      <c r="C36" s="51" t="str">
        <f aca="false">IF(Test!E23="","—",Test!E23&amp;" / 3")</f>
        <v>—</v>
      </c>
      <c r="D36" s="52" t="s">
        <v>92</v>
      </c>
      <c r="E36" s="52"/>
    </row>
    <row r="37" customFormat="false" ht="25.5" hidden="false" customHeight="true" outlineLevel="0" collapsed="false">
      <c r="B37" s="50" t="s">
        <v>93</v>
      </c>
      <c r="C37" s="51" t="str">
        <f aca="false">IF(Test!E24="","—",Test!E24&amp;" / 3")</f>
        <v>—</v>
      </c>
      <c r="D37" s="52" t="s">
        <v>94</v>
      </c>
      <c r="E37" s="52"/>
    </row>
    <row r="38" customFormat="false" ht="25.5" hidden="false" customHeight="true" outlineLevel="0" collapsed="false">
      <c r="B38" s="50" t="s">
        <v>95</v>
      </c>
      <c r="C38" s="51" t="str">
        <f aca="false">IF(Test!E30="","—",Test!E30&amp;" / 3")</f>
        <v>—</v>
      </c>
      <c r="D38" s="52" t="s">
        <v>96</v>
      </c>
      <c r="E38" s="52"/>
    </row>
    <row r="39" customFormat="false" ht="25.5" hidden="false" customHeight="true" outlineLevel="0" collapsed="false">
      <c r="B39" s="50" t="s">
        <v>97</v>
      </c>
      <c r="C39" s="51" t="str">
        <f aca="false">IF(Test!E32="","—",Test!E32&amp;" / 3")</f>
        <v>—</v>
      </c>
      <c r="D39" s="52" t="s">
        <v>98</v>
      </c>
      <c r="E39" s="52"/>
    </row>
    <row r="40" customFormat="false" ht="25.5" hidden="false" customHeight="true" outlineLevel="0" collapsed="false">
      <c r="B40" s="50" t="s">
        <v>99</v>
      </c>
      <c r="C40" s="51" t="str">
        <f aca="false">IF(Test!E33="","—",Test!E33&amp;" / 3")</f>
        <v>—</v>
      </c>
      <c r="D40" s="52" t="s">
        <v>100</v>
      </c>
      <c r="E40" s="52"/>
    </row>
    <row r="41" customFormat="false" ht="25.5" hidden="false" customHeight="true" outlineLevel="0" collapsed="false">
      <c r="B41" s="50" t="s">
        <v>101</v>
      </c>
      <c r="C41" s="51" t="str">
        <f aca="false">IF(Test!E35="","—",Test!E35&amp;" / 3")</f>
        <v>—</v>
      </c>
      <c r="D41" s="52" t="s">
        <v>102</v>
      </c>
      <c r="E41" s="52"/>
    </row>
    <row r="43" customFormat="false" ht="15" hidden="false" customHeight="false" outlineLevel="0" collapsed="false">
      <c r="B43" s="53" t="s">
        <v>103</v>
      </c>
    </row>
    <row r="44" customFormat="false" ht="15" hidden="false" customHeight="false" outlineLevel="0" collapsed="false">
      <c r="B44" s="53" t="s">
        <v>104</v>
      </c>
    </row>
  </sheetData>
  <sheetProtection sheet="true" formatColumns="false" formatRows="false"/>
  <mergeCells count="19">
    <mergeCell ref="B15:E15"/>
    <mergeCell ref="B16:E17"/>
    <mergeCell ref="B18:E18"/>
    <mergeCell ref="B19:E19"/>
    <mergeCell ref="C21:E21"/>
    <mergeCell ref="D22:E23"/>
    <mergeCell ref="D24:E25"/>
    <mergeCell ref="B27:E27"/>
    <mergeCell ref="D31:E31"/>
    <mergeCell ref="D32:E32"/>
    <mergeCell ref="D33:E33"/>
    <mergeCell ref="D34:E34"/>
    <mergeCell ref="D35:E35"/>
    <mergeCell ref="D36:E36"/>
    <mergeCell ref="D37:E37"/>
    <mergeCell ref="D38:E38"/>
    <mergeCell ref="D39:E39"/>
    <mergeCell ref="D40:E40"/>
    <mergeCell ref="D41:E41"/>
  </mergeCells>
  <conditionalFormatting sqref="D6:D10">
    <cfRule type="cellIs" priority="2" operator="greaterThanOrEqual" aboveAverage="0" equalAverage="0" bottom="0" percent="0" rank="0" text="" dxfId="1">
      <formula>Config!$M$2</formula>
    </cfRule>
    <cfRule type="cellIs" priority="3" operator="between" aboveAverage="0" equalAverage="0" bottom="0" percent="0" rank="0" text="" dxfId="2">
      <formula>Config!$M$3</formula>
      <formula>Config!$M$2-0.0001</formula>
    </cfRule>
    <cfRule type="cellIs" priority="4" operator="lessThan" aboveAverage="0" equalAverage="0" bottom="0" percent="0" rank="0" text="" dxfId="3">
      <formula>Config!$M$3</formula>
    </cfRule>
  </conditionalFormatting>
  <conditionalFormatting sqref="B18:E18">
    <cfRule type="expression" priority="5" aboveAverage="0" equalAverage="0" bottom="0" percent="0" rank="0" text="" dxfId="4">
      <formula>$H$13&gt;0</formula>
    </cfRule>
  </conditionalFormatting>
  <conditionalFormatting sqref="B15:E15">
    <cfRule type="expression" priority="6" aboveAverage="0" equalAverage="0" bottom="0" percent="0" rank="0" text="" dxfId="5">
      <formula>$B$15="LISTA PARA UN SISTEMA"</formula>
    </cfRule>
    <cfRule type="expression" priority="7" aboveAverage="0" equalAverage="0" bottom="0" percent="0" rank="0" text="" dxfId="6">
      <formula>$B$15="ZONA INTERMEDIA"</formula>
    </cfRule>
    <cfRule type="expression" priority="8" aboveAverage="0" equalAverage="0" bottom="0" percent="0" rank="0" text="" dxfId="7">
      <formula>$B$15="TODAVÍA NO"</formula>
    </cfRule>
  </conditionalFormatting>
  <conditionalFormatting sqref="C32:C41">
    <cfRule type="expression" priority="9" aboveAverage="0" equalAverage="0" bottom="0" percent="0" rank="0" text="" dxfId="8">
      <formula>LEFT(C32,1)="3"</formula>
    </cfRule>
    <cfRule type="expression" priority="10" aboveAverage="0" equalAverage="0" bottom="0" percent="0" rank="0" text="" dxfId="9">
      <formula>OR(LEFT(C32,1)="0",LEFT(C32,1)="1")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44"/>
    <col collapsed="false" customWidth="true" hidden="false" outlineLevel="0" max="6" min="4" style="0" width="30"/>
    <col collapsed="false" customWidth="true" hidden="false" outlineLevel="0" max="9" min="7" style="0" width="5"/>
    <col collapsed="false" customWidth="true" hidden="false" outlineLevel="0" max="10" min="10" style="0" width="10"/>
    <col collapsed="false" customWidth="true" hidden="false" outlineLevel="0" max="11" min="11" style="0" width="12"/>
  </cols>
  <sheetData>
    <row r="1" customFormat="false" ht="19.7" hidden="false" customHeight="false" outlineLevel="0" collapsed="false">
      <c r="A1" s="11" t="s">
        <v>105</v>
      </c>
    </row>
    <row r="2" customFormat="false" ht="15" hidden="false" customHeight="false" outlineLevel="0" collapsed="false">
      <c r="A2" s="12" t="s">
        <v>106</v>
      </c>
    </row>
    <row r="4" customFormat="false" ht="15" hidden="false" customHeight="false" outlineLevel="0" collapsed="false">
      <c r="C4" s="25" t="s">
        <v>107</v>
      </c>
      <c r="D4" s="54" t="s">
        <v>108</v>
      </c>
      <c r="E4" s="54" t="s">
        <v>109</v>
      </c>
      <c r="F4" s="54" t="s">
        <v>110</v>
      </c>
    </row>
    <row r="6" customFormat="false" ht="15" hidden="false" customHeight="false" outlineLevel="0" collapsed="false">
      <c r="A6" s="16" t="s">
        <v>26</v>
      </c>
      <c r="B6" s="16" t="s">
        <v>27</v>
      </c>
      <c r="C6" s="16" t="s">
        <v>28</v>
      </c>
      <c r="D6" s="16" t="str">
        <f aca="false">D4</f>
        <v>Persona 1</v>
      </c>
      <c r="E6" s="16" t="str">
        <f aca="false">E4</f>
        <v>Persona 2</v>
      </c>
      <c r="F6" s="16" t="str">
        <f aca="false">F4</f>
        <v>Persona 3</v>
      </c>
      <c r="G6" s="16" t="s">
        <v>111</v>
      </c>
      <c r="H6" s="16" t="s">
        <v>112</v>
      </c>
      <c r="I6" s="16" t="s">
        <v>113</v>
      </c>
      <c r="J6" s="16" t="s">
        <v>114</v>
      </c>
      <c r="K6" s="16" t="s">
        <v>115</v>
      </c>
    </row>
    <row r="7" customFormat="false" ht="45.75" hidden="false" customHeight="true" outlineLevel="0" collapsed="false">
      <c r="A7" s="18" t="n">
        <v>1</v>
      </c>
      <c r="B7" s="19" t="s">
        <v>33</v>
      </c>
      <c r="C7" s="24" t="s">
        <v>34</v>
      </c>
      <c r="D7" s="21"/>
      <c r="E7" s="21"/>
      <c r="F7" s="21"/>
      <c r="G7" s="55" t="str">
        <f aca="false">IF(D7="","",MATCH(D7,Config!$B$2:$E$2,0)-1)</f>
        <v/>
      </c>
      <c r="H7" s="55" t="str">
        <f aca="false">IF(E7="","",MATCH(E7,Config!$B$2:$E$2,0)-1)</f>
        <v/>
      </c>
      <c r="I7" s="55" t="str">
        <f aca="false">IF(F7="","",MATCH(F7,Config!$B$2:$E$2,0)-1)</f>
        <v/>
      </c>
      <c r="J7" s="18" t="str">
        <f aca="false">IF(COUNT(G7:I7)&lt;2,"",MAX(G7:I7)-MIN(G7:I7))</f>
        <v/>
      </c>
      <c r="K7" s="18" t="str">
        <f aca="false">IF(J7="","",IF(J7&gt;=Config!$M$5,"Conversar",""))</f>
        <v/>
      </c>
    </row>
    <row r="8" customFormat="false" ht="45.75" hidden="false" customHeight="true" outlineLevel="0" collapsed="false">
      <c r="A8" s="18" t="n">
        <v>2</v>
      </c>
      <c r="B8" s="19" t="s">
        <v>33</v>
      </c>
      <c r="C8" s="24" t="s">
        <v>35</v>
      </c>
      <c r="D8" s="21"/>
      <c r="E8" s="21"/>
      <c r="F8" s="21"/>
      <c r="G8" s="55" t="str">
        <f aca="false">IF(D8="","",MATCH(D8,Config!$B$3:$E$3,0)-1)</f>
        <v/>
      </c>
      <c r="H8" s="55" t="str">
        <f aca="false">IF(E8="","",MATCH(E8,Config!$B$3:$E$3,0)-1)</f>
        <v/>
      </c>
      <c r="I8" s="55" t="str">
        <f aca="false">IF(F8="","",MATCH(F8,Config!$B$3:$E$3,0)-1)</f>
        <v/>
      </c>
      <c r="J8" s="18" t="str">
        <f aca="false">IF(COUNT(G8:I8)&lt;2,"",MAX(G8:I8)-MIN(G8:I8))</f>
        <v/>
      </c>
      <c r="K8" s="18" t="str">
        <f aca="false">IF(J8="","",IF(J8&gt;=Config!$M$5,"Conversar",""))</f>
        <v/>
      </c>
    </row>
    <row r="9" customFormat="false" ht="45.75" hidden="false" customHeight="true" outlineLevel="0" collapsed="false">
      <c r="A9" s="18" t="n">
        <v>3</v>
      </c>
      <c r="B9" s="19" t="s">
        <v>33</v>
      </c>
      <c r="C9" s="24" t="s">
        <v>36</v>
      </c>
      <c r="D9" s="21"/>
      <c r="E9" s="21"/>
      <c r="F9" s="21"/>
      <c r="G9" s="55" t="str">
        <f aca="false">IF(D9="","",MATCH(D9,Config!$B$4:$E$4,0)-1)</f>
        <v/>
      </c>
      <c r="H9" s="55" t="str">
        <f aca="false">IF(E9="","",MATCH(E9,Config!$B$4:$E$4,0)-1)</f>
        <v/>
      </c>
      <c r="I9" s="55" t="str">
        <f aca="false">IF(F9="","",MATCH(F9,Config!$B$4:$E$4,0)-1)</f>
        <v/>
      </c>
      <c r="J9" s="18" t="str">
        <f aca="false">IF(COUNT(G9:I9)&lt;2,"",MAX(G9:I9)-MIN(G9:I9))</f>
        <v/>
      </c>
      <c r="K9" s="18" t="str">
        <f aca="false">IF(J9="","",IF(J9&gt;=Config!$M$5,"Conversar",""))</f>
        <v/>
      </c>
    </row>
    <row r="10" customFormat="false" ht="45.75" hidden="false" customHeight="true" outlineLevel="0" collapsed="false">
      <c r="A10" s="18" t="n">
        <v>4</v>
      </c>
      <c r="B10" s="19" t="s">
        <v>33</v>
      </c>
      <c r="C10" s="24" t="s">
        <v>37</v>
      </c>
      <c r="D10" s="21"/>
      <c r="E10" s="21"/>
      <c r="F10" s="21"/>
      <c r="G10" s="55" t="str">
        <f aca="false">IF(D10="","",MATCH(D10,Config!$B$5:$E$5,0)-1)</f>
        <v/>
      </c>
      <c r="H10" s="55" t="str">
        <f aca="false">IF(E10="","",MATCH(E10,Config!$B$5:$E$5,0)-1)</f>
        <v/>
      </c>
      <c r="I10" s="55" t="str">
        <f aca="false">IF(F10="","",MATCH(F10,Config!$B$5:$E$5,0)-1)</f>
        <v/>
      </c>
      <c r="J10" s="18" t="str">
        <f aca="false">IF(COUNT(G10:I10)&lt;2,"",MAX(G10:I10)-MIN(G10:I10))</f>
        <v/>
      </c>
      <c r="K10" s="18" t="str">
        <f aca="false">IF(J10="","",IF(J10&gt;=Config!$M$5,"Conversar",""))</f>
        <v/>
      </c>
    </row>
    <row r="11" customFormat="false" ht="45.75" hidden="false" customHeight="true" outlineLevel="0" collapsed="false">
      <c r="A11" s="18" t="n">
        <v>5</v>
      </c>
      <c r="B11" s="19" t="s">
        <v>39</v>
      </c>
      <c r="C11" s="24" t="s">
        <v>40</v>
      </c>
      <c r="D11" s="21"/>
      <c r="E11" s="21"/>
      <c r="F11" s="21"/>
      <c r="G11" s="55" t="str">
        <f aca="false">IF(D11="","",MATCH(D11,Config!$B$6:$E$6,0)-1)</f>
        <v/>
      </c>
      <c r="H11" s="55" t="str">
        <f aca="false">IF(E11="","",MATCH(E11,Config!$B$6:$E$6,0)-1)</f>
        <v/>
      </c>
      <c r="I11" s="55" t="str">
        <f aca="false">IF(F11="","",MATCH(F11,Config!$B$6:$E$6,0)-1)</f>
        <v/>
      </c>
      <c r="J11" s="18" t="str">
        <f aca="false">IF(COUNT(G11:I11)&lt;2,"",MAX(G11:I11)-MIN(G11:I11))</f>
        <v/>
      </c>
      <c r="K11" s="18" t="str">
        <f aca="false">IF(J11="","",IF(J11&gt;=Config!$M$5,"Conversar",""))</f>
        <v/>
      </c>
    </row>
    <row r="12" customFormat="false" ht="45.75" hidden="false" customHeight="true" outlineLevel="0" collapsed="false">
      <c r="A12" s="18" t="n">
        <v>6</v>
      </c>
      <c r="B12" s="19" t="s">
        <v>39</v>
      </c>
      <c r="C12" s="24" t="s">
        <v>41</v>
      </c>
      <c r="D12" s="21"/>
      <c r="E12" s="21"/>
      <c r="F12" s="21"/>
      <c r="G12" s="55" t="str">
        <f aca="false">IF(D12="","",MATCH(D12,Config!$B$7:$E$7,0)-1)</f>
        <v/>
      </c>
      <c r="H12" s="55" t="str">
        <f aca="false">IF(E12="","",MATCH(E12,Config!$B$7:$E$7,0)-1)</f>
        <v/>
      </c>
      <c r="I12" s="55" t="str">
        <f aca="false">IF(F12="","",MATCH(F12,Config!$B$7:$E$7,0)-1)</f>
        <v/>
      </c>
      <c r="J12" s="18" t="str">
        <f aca="false">IF(COUNT(G12:I12)&lt;2,"",MAX(G12:I12)-MIN(G12:I12))</f>
        <v/>
      </c>
      <c r="K12" s="18" t="str">
        <f aca="false">IF(J12="","",IF(J12&gt;=Config!$M$5,"Conversar",""))</f>
        <v/>
      </c>
    </row>
    <row r="13" customFormat="false" ht="45.75" hidden="false" customHeight="true" outlineLevel="0" collapsed="false">
      <c r="A13" s="18" t="n">
        <v>7</v>
      </c>
      <c r="B13" s="19" t="s">
        <v>39</v>
      </c>
      <c r="C13" s="24" t="s">
        <v>42</v>
      </c>
      <c r="D13" s="21"/>
      <c r="E13" s="21"/>
      <c r="F13" s="21"/>
      <c r="G13" s="55" t="str">
        <f aca="false">IF(D13="","",MATCH(D13,Config!$B$8:$E$8,0)-1)</f>
        <v/>
      </c>
      <c r="H13" s="55" t="str">
        <f aca="false">IF(E13="","",MATCH(E13,Config!$B$8:$E$8,0)-1)</f>
        <v/>
      </c>
      <c r="I13" s="55" t="str">
        <f aca="false">IF(F13="","",MATCH(F13,Config!$B$8:$E$8,0)-1)</f>
        <v/>
      </c>
      <c r="J13" s="18" t="str">
        <f aca="false">IF(COUNT(G13:I13)&lt;2,"",MAX(G13:I13)-MIN(G13:I13))</f>
        <v/>
      </c>
      <c r="K13" s="18" t="str">
        <f aca="false">IF(J13="","",IF(J13&gt;=Config!$M$5,"Conversar",""))</f>
        <v/>
      </c>
    </row>
    <row r="14" customFormat="false" ht="45.75" hidden="false" customHeight="true" outlineLevel="0" collapsed="false">
      <c r="A14" s="18" t="n">
        <v>8</v>
      </c>
      <c r="B14" s="19" t="s">
        <v>39</v>
      </c>
      <c r="C14" s="24" t="s">
        <v>43</v>
      </c>
      <c r="D14" s="21"/>
      <c r="E14" s="21"/>
      <c r="F14" s="21"/>
      <c r="G14" s="55" t="str">
        <f aca="false">IF(D14="","",MATCH(D14,Config!$B$9:$E$9,0)-1)</f>
        <v/>
      </c>
      <c r="H14" s="55" t="str">
        <f aca="false">IF(E14="","",MATCH(E14,Config!$B$9:$E$9,0)-1)</f>
        <v/>
      </c>
      <c r="I14" s="55" t="str">
        <f aca="false">IF(F14="","",MATCH(F14,Config!$B$9:$E$9,0)-1)</f>
        <v/>
      </c>
      <c r="J14" s="18" t="str">
        <f aca="false">IF(COUNT(G14:I14)&lt;2,"",MAX(G14:I14)-MIN(G14:I14))</f>
        <v/>
      </c>
      <c r="K14" s="18" t="str">
        <f aca="false">IF(J14="","",IF(J14&gt;=Config!$M$5,"Conversar",""))</f>
        <v/>
      </c>
    </row>
    <row r="15" customFormat="false" ht="45.75" hidden="false" customHeight="true" outlineLevel="0" collapsed="false">
      <c r="A15" s="18" t="n">
        <v>9</v>
      </c>
      <c r="B15" s="19" t="s">
        <v>45</v>
      </c>
      <c r="C15" s="24" t="s">
        <v>46</v>
      </c>
      <c r="D15" s="21"/>
      <c r="E15" s="21"/>
      <c r="F15" s="21"/>
      <c r="G15" s="55" t="str">
        <f aca="false">IF(D15="","",MATCH(D15,Config!$B$10:$E$10,0)-1)</f>
        <v/>
      </c>
      <c r="H15" s="55" t="str">
        <f aca="false">IF(E15="","",MATCH(E15,Config!$B$10:$E$10,0)-1)</f>
        <v/>
      </c>
      <c r="I15" s="55" t="str">
        <f aca="false">IF(F15="","",MATCH(F15,Config!$B$10:$E$10,0)-1)</f>
        <v/>
      </c>
      <c r="J15" s="18" t="str">
        <f aca="false">IF(COUNT(G15:I15)&lt;2,"",MAX(G15:I15)-MIN(G15:I15))</f>
        <v/>
      </c>
      <c r="K15" s="18" t="str">
        <f aca="false">IF(J15="","",IF(J15&gt;=Config!$M$5,"Conversar",""))</f>
        <v/>
      </c>
    </row>
    <row r="16" customFormat="false" ht="45.75" hidden="false" customHeight="true" outlineLevel="0" collapsed="false">
      <c r="A16" s="18" t="n">
        <v>10</v>
      </c>
      <c r="B16" s="19" t="s">
        <v>45</v>
      </c>
      <c r="C16" s="24" t="s">
        <v>47</v>
      </c>
      <c r="D16" s="21"/>
      <c r="E16" s="21"/>
      <c r="F16" s="21"/>
      <c r="G16" s="55" t="str">
        <f aca="false">IF(D16="","",MATCH(D16,Config!$B$11:$E$11,0)-1)</f>
        <v/>
      </c>
      <c r="H16" s="55" t="str">
        <f aca="false">IF(E16="","",MATCH(E16,Config!$B$11:$E$11,0)-1)</f>
        <v/>
      </c>
      <c r="I16" s="55" t="str">
        <f aca="false">IF(F16="","",MATCH(F16,Config!$B$11:$E$11,0)-1)</f>
        <v/>
      </c>
      <c r="J16" s="18" t="str">
        <f aca="false">IF(COUNT(G16:I16)&lt;2,"",MAX(G16:I16)-MIN(G16:I16))</f>
        <v/>
      </c>
      <c r="K16" s="18" t="str">
        <f aca="false">IF(J16="","",IF(J16&gt;=Config!$M$5,"Conversar",""))</f>
        <v/>
      </c>
    </row>
    <row r="17" customFormat="false" ht="45.75" hidden="false" customHeight="true" outlineLevel="0" collapsed="false">
      <c r="A17" s="18" t="n">
        <v>11</v>
      </c>
      <c r="B17" s="19" t="s">
        <v>45</v>
      </c>
      <c r="C17" s="24" t="s">
        <v>48</v>
      </c>
      <c r="D17" s="21"/>
      <c r="E17" s="21"/>
      <c r="F17" s="21"/>
      <c r="G17" s="55" t="str">
        <f aca="false">IF(D17="","",MATCH(D17,Config!$B$12:$E$12,0)-1)</f>
        <v/>
      </c>
      <c r="H17" s="55" t="str">
        <f aca="false">IF(E17="","",MATCH(E17,Config!$B$12:$E$12,0)-1)</f>
        <v/>
      </c>
      <c r="I17" s="55" t="str">
        <f aca="false">IF(F17="","",MATCH(F17,Config!$B$12:$E$12,0)-1)</f>
        <v/>
      </c>
      <c r="J17" s="18" t="str">
        <f aca="false">IF(COUNT(G17:I17)&lt;2,"",MAX(G17:I17)-MIN(G17:I17))</f>
        <v/>
      </c>
      <c r="K17" s="18" t="str">
        <f aca="false">IF(J17="","",IF(J17&gt;=Config!$M$5,"Conversar",""))</f>
        <v/>
      </c>
    </row>
    <row r="18" customFormat="false" ht="45.75" hidden="false" customHeight="true" outlineLevel="0" collapsed="false">
      <c r="A18" s="18" t="n">
        <v>12</v>
      </c>
      <c r="B18" s="19" t="s">
        <v>45</v>
      </c>
      <c r="C18" s="24" t="s">
        <v>49</v>
      </c>
      <c r="D18" s="21"/>
      <c r="E18" s="21"/>
      <c r="F18" s="21"/>
      <c r="G18" s="55" t="str">
        <f aca="false">IF(D18="","",MATCH(D18,Config!$B$13:$E$13,0)-1)</f>
        <v/>
      </c>
      <c r="H18" s="55" t="str">
        <f aca="false">IF(E18="","",MATCH(E18,Config!$B$13:$E$13,0)-1)</f>
        <v/>
      </c>
      <c r="I18" s="55" t="str">
        <f aca="false">IF(F18="","",MATCH(F18,Config!$B$13:$E$13,0)-1)</f>
        <v/>
      </c>
      <c r="J18" s="18" t="str">
        <f aca="false">IF(COUNT(G18:I18)&lt;2,"",MAX(G18:I18)-MIN(G18:I18))</f>
        <v/>
      </c>
      <c r="K18" s="18" t="str">
        <f aca="false">IF(J18="","",IF(J18&gt;=Config!$M$5,"Conversar",""))</f>
        <v/>
      </c>
    </row>
    <row r="19" customFormat="false" ht="45.75" hidden="false" customHeight="true" outlineLevel="0" collapsed="false">
      <c r="A19" s="18" t="n">
        <v>13</v>
      </c>
      <c r="B19" s="19" t="s">
        <v>51</v>
      </c>
      <c r="C19" s="24" t="s">
        <v>52</v>
      </c>
      <c r="D19" s="21"/>
      <c r="E19" s="21"/>
      <c r="F19" s="21"/>
      <c r="G19" s="55" t="str">
        <f aca="false">IF(D19="","",MATCH(D19,Config!$B$14:$E$14,0)-1)</f>
        <v/>
      </c>
      <c r="H19" s="55" t="str">
        <f aca="false">IF(E19="","",MATCH(E19,Config!$B$14:$E$14,0)-1)</f>
        <v/>
      </c>
      <c r="I19" s="55" t="str">
        <f aca="false">IF(F19="","",MATCH(F19,Config!$B$14:$E$14,0)-1)</f>
        <v/>
      </c>
      <c r="J19" s="18" t="str">
        <f aca="false">IF(COUNT(G19:I19)&lt;2,"",MAX(G19:I19)-MIN(G19:I19))</f>
        <v/>
      </c>
      <c r="K19" s="18" t="str">
        <f aca="false">IF(J19="","",IF(J19&gt;=Config!$M$5,"Conversar",""))</f>
        <v/>
      </c>
    </row>
    <row r="20" customFormat="false" ht="45.75" hidden="false" customHeight="true" outlineLevel="0" collapsed="false">
      <c r="A20" s="18" t="n">
        <v>14</v>
      </c>
      <c r="B20" s="19" t="s">
        <v>51</v>
      </c>
      <c r="C20" s="24" t="s">
        <v>53</v>
      </c>
      <c r="D20" s="21"/>
      <c r="E20" s="21"/>
      <c r="F20" s="21"/>
      <c r="G20" s="55" t="str">
        <f aca="false">IF(D20="","",MATCH(D20,Config!$B$15:$E$15,0)-1)</f>
        <v/>
      </c>
      <c r="H20" s="55" t="str">
        <f aca="false">IF(E20="","",MATCH(E20,Config!$B$15:$E$15,0)-1)</f>
        <v/>
      </c>
      <c r="I20" s="55" t="str">
        <f aca="false">IF(F20="","",MATCH(F20,Config!$B$15:$E$15,0)-1)</f>
        <v/>
      </c>
      <c r="J20" s="18" t="str">
        <f aca="false">IF(COUNT(G20:I20)&lt;2,"",MAX(G20:I20)-MIN(G20:I20))</f>
        <v/>
      </c>
      <c r="K20" s="18" t="str">
        <f aca="false">IF(J20="","",IF(J20&gt;=Config!$M$5,"Conversar",""))</f>
        <v/>
      </c>
    </row>
    <row r="21" customFormat="false" ht="45.75" hidden="false" customHeight="true" outlineLevel="0" collapsed="false">
      <c r="A21" s="18" t="n">
        <v>15</v>
      </c>
      <c r="B21" s="19" t="s">
        <v>51</v>
      </c>
      <c r="C21" s="24" t="s">
        <v>54</v>
      </c>
      <c r="D21" s="21"/>
      <c r="E21" s="21"/>
      <c r="F21" s="21"/>
      <c r="G21" s="55" t="str">
        <f aca="false">IF(D21="","",MATCH(D21,Config!$B$16:$E$16,0)-1)</f>
        <v/>
      </c>
      <c r="H21" s="55" t="str">
        <f aca="false">IF(E21="","",MATCH(E21,Config!$B$16:$E$16,0)-1)</f>
        <v/>
      </c>
      <c r="I21" s="55" t="str">
        <f aca="false">IF(F21="","",MATCH(F21,Config!$B$16:$E$16,0)-1)</f>
        <v/>
      </c>
      <c r="J21" s="18" t="str">
        <f aca="false">IF(COUNT(G21:I21)&lt;2,"",MAX(G21:I21)-MIN(G21:I21))</f>
        <v/>
      </c>
      <c r="K21" s="18" t="str">
        <f aca="false">IF(J21="","",IF(J21&gt;=Config!$M$5,"Conversar",""))</f>
        <v/>
      </c>
    </row>
    <row r="22" customFormat="false" ht="45.75" hidden="false" customHeight="true" outlineLevel="0" collapsed="false">
      <c r="A22" s="18" t="n">
        <v>16</v>
      </c>
      <c r="B22" s="19" t="s">
        <v>51</v>
      </c>
      <c r="C22" s="24" t="s">
        <v>55</v>
      </c>
      <c r="D22" s="21"/>
      <c r="E22" s="21"/>
      <c r="F22" s="21"/>
      <c r="G22" s="55" t="str">
        <f aca="false">IF(D22="","",MATCH(D22,Config!$B$17:$E$17,0)-1)</f>
        <v/>
      </c>
      <c r="H22" s="55" t="str">
        <f aca="false">IF(E22="","",MATCH(E22,Config!$B$17:$E$17,0)-1)</f>
        <v/>
      </c>
      <c r="I22" s="55" t="str">
        <f aca="false">IF(F22="","",MATCH(F22,Config!$B$17:$E$17,0)-1)</f>
        <v/>
      </c>
      <c r="J22" s="18" t="str">
        <f aca="false">IF(COUNT(G22:I22)&lt;2,"",MAX(G22:I22)-MIN(G22:I22))</f>
        <v/>
      </c>
      <c r="K22" s="18" t="str">
        <f aca="false">IF(J22="","",IF(J22&gt;=Config!$M$5,"Conversar",""))</f>
        <v/>
      </c>
    </row>
    <row r="23" customFormat="false" ht="45.75" hidden="false" customHeight="true" outlineLevel="0" collapsed="false">
      <c r="A23" s="18" t="n">
        <v>17</v>
      </c>
      <c r="B23" s="19" t="s">
        <v>57</v>
      </c>
      <c r="C23" s="24" t="s">
        <v>58</v>
      </c>
      <c r="D23" s="21"/>
      <c r="E23" s="21"/>
      <c r="F23" s="21"/>
      <c r="G23" s="55" t="str">
        <f aca="false">IF(D23="","",MATCH(D23,Config!$B$18:$E$18,0)-1)</f>
        <v/>
      </c>
      <c r="H23" s="55" t="str">
        <f aca="false">IF(E23="","",MATCH(E23,Config!$B$18:$E$18,0)-1)</f>
        <v/>
      </c>
      <c r="I23" s="55" t="str">
        <f aca="false">IF(F23="","",MATCH(F23,Config!$B$18:$E$18,0)-1)</f>
        <v/>
      </c>
      <c r="J23" s="18" t="str">
        <f aca="false">IF(COUNT(G23:I23)&lt;2,"",MAX(G23:I23)-MIN(G23:I23))</f>
        <v/>
      </c>
      <c r="K23" s="18" t="str">
        <f aca="false">IF(J23="","",IF(J23&gt;=Config!$M$5,"Conversar",""))</f>
        <v/>
      </c>
    </row>
    <row r="24" customFormat="false" ht="45.75" hidden="false" customHeight="true" outlineLevel="0" collapsed="false">
      <c r="A24" s="18" t="n">
        <v>18</v>
      </c>
      <c r="B24" s="19" t="s">
        <v>57</v>
      </c>
      <c r="C24" s="24" t="s">
        <v>59</v>
      </c>
      <c r="D24" s="21"/>
      <c r="E24" s="21"/>
      <c r="F24" s="21"/>
      <c r="G24" s="55" t="str">
        <f aca="false">IF(D24="","",MATCH(D24,Config!$B$19:$E$19,0)-1)</f>
        <v/>
      </c>
      <c r="H24" s="55" t="str">
        <f aca="false">IF(E24="","",MATCH(E24,Config!$B$19:$E$19,0)-1)</f>
        <v/>
      </c>
      <c r="I24" s="55" t="str">
        <f aca="false">IF(F24="","",MATCH(F24,Config!$B$19:$E$19,0)-1)</f>
        <v/>
      </c>
      <c r="J24" s="18" t="str">
        <f aca="false">IF(COUNT(G24:I24)&lt;2,"",MAX(G24:I24)-MIN(G24:I24))</f>
        <v/>
      </c>
      <c r="K24" s="18" t="str">
        <f aca="false">IF(J24="","",IF(J24&gt;=Config!$M$5,"Conversar",""))</f>
        <v/>
      </c>
    </row>
    <row r="25" customFormat="false" ht="45.75" hidden="false" customHeight="true" outlineLevel="0" collapsed="false">
      <c r="A25" s="18" t="n">
        <v>19</v>
      </c>
      <c r="B25" s="19" t="s">
        <v>57</v>
      </c>
      <c r="C25" s="24" t="s">
        <v>60</v>
      </c>
      <c r="D25" s="21"/>
      <c r="E25" s="21"/>
      <c r="F25" s="21"/>
      <c r="G25" s="55" t="str">
        <f aca="false">IF(D25="","",MATCH(D25,Config!$B$20:$E$20,0)-1)</f>
        <v/>
      </c>
      <c r="H25" s="55" t="str">
        <f aca="false">IF(E25="","",MATCH(E25,Config!$B$20:$E$20,0)-1)</f>
        <v/>
      </c>
      <c r="I25" s="55" t="str">
        <f aca="false">IF(F25="","",MATCH(F25,Config!$B$20:$E$20,0)-1)</f>
        <v/>
      </c>
      <c r="J25" s="18" t="str">
        <f aca="false">IF(COUNT(G25:I25)&lt;2,"",MAX(G25:I25)-MIN(G25:I25))</f>
        <v/>
      </c>
      <c r="K25" s="18" t="str">
        <f aca="false">IF(J25="","",IF(J25&gt;=Config!$M$5,"Conversar",""))</f>
        <v/>
      </c>
    </row>
    <row r="26" customFormat="false" ht="45.75" hidden="false" customHeight="true" outlineLevel="0" collapsed="false">
      <c r="A26" s="18" t="n">
        <v>20</v>
      </c>
      <c r="B26" s="19" t="s">
        <v>57</v>
      </c>
      <c r="C26" s="24" t="s">
        <v>61</v>
      </c>
      <c r="D26" s="21"/>
      <c r="E26" s="21"/>
      <c r="F26" s="21"/>
      <c r="G26" s="55" t="str">
        <f aca="false">IF(D26="","",MATCH(D26,Config!$B$21:$E$21,0)-1)</f>
        <v/>
      </c>
      <c r="H26" s="55" t="str">
        <f aca="false">IF(E26="","",MATCH(E26,Config!$B$21:$E$21,0)-1)</f>
        <v/>
      </c>
      <c r="I26" s="55" t="str">
        <f aca="false">IF(F26="","",MATCH(F26,Config!$B$21:$E$21,0)-1)</f>
        <v/>
      </c>
      <c r="J26" s="18" t="str">
        <f aca="false">IF(COUNT(G26:I26)&lt;2,"",MAX(G26:I26)-MIN(G26:I26))</f>
        <v/>
      </c>
      <c r="K26" s="18" t="str">
        <f aca="false">IF(J26="","",IF(J26&gt;=Config!$M$5,"Conversar",""))</f>
        <v/>
      </c>
    </row>
    <row r="28" customFormat="false" ht="15" hidden="false" customHeight="false" outlineLevel="0" collapsed="false">
      <c r="B28" s="56" t="s">
        <v>116</v>
      </c>
    </row>
    <row r="29" customFormat="false" ht="15" hidden="false" customHeight="true" outlineLevel="0" collapsed="false">
      <c r="B29" s="57" t="s">
        <v>27</v>
      </c>
      <c r="C29" s="57"/>
      <c r="D29" s="16" t="str">
        <f aca="false">D4</f>
        <v>Persona 1</v>
      </c>
      <c r="E29" s="16" t="str">
        <f aca="false">E4</f>
        <v>Persona 2</v>
      </c>
      <c r="F29" s="16" t="str">
        <f aca="false">F4</f>
        <v>Persona 3</v>
      </c>
    </row>
    <row r="30" customFormat="false" ht="15" hidden="false" customHeight="false" outlineLevel="0" collapsed="false">
      <c r="B30" s="58" t="s">
        <v>33</v>
      </c>
      <c r="C30" s="58"/>
      <c r="D30" s="59" t="n">
        <f aca="false">IFERROR(SUMIF($B$7:$B$26,$B30,G$7:G$26)/(COUNTIFS($B$7:$B$26,$B30,G$7:G$26,"&lt;&gt;")*3),"")</f>
        <v>0</v>
      </c>
      <c r="E30" s="59" t="n">
        <f aca="false">IFERROR(SUMIF($B$7:$B$26,$B30,H$7:H$26)/(COUNTIFS($B$7:$B$26,$B30,H$7:H$26,"&lt;&gt;")*3),"")</f>
        <v>0</v>
      </c>
      <c r="F30" s="59" t="n">
        <f aca="false">IFERROR(SUMIF($B$7:$B$26,$B30,I$7:I$26)/(COUNTIFS($B$7:$B$26,$B30,I$7:I$26,"&lt;&gt;")*3),"")</f>
        <v>0</v>
      </c>
    </row>
    <row r="31" customFormat="false" ht="15" hidden="false" customHeight="false" outlineLevel="0" collapsed="false">
      <c r="B31" s="58" t="s">
        <v>39</v>
      </c>
      <c r="C31" s="58"/>
      <c r="D31" s="59" t="n">
        <f aca="false">IFERROR(SUMIF($B$7:$B$26,$B31,G$7:G$26)/(COUNTIFS($B$7:$B$26,$B31,G$7:G$26,"&lt;&gt;")*3),"")</f>
        <v>0</v>
      </c>
      <c r="E31" s="59" t="n">
        <f aca="false">IFERROR(SUMIF($B$7:$B$26,$B31,H$7:H$26)/(COUNTIFS($B$7:$B$26,$B31,H$7:H$26,"&lt;&gt;")*3),"")</f>
        <v>0</v>
      </c>
      <c r="F31" s="59" t="n">
        <f aca="false">IFERROR(SUMIF($B$7:$B$26,$B31,I$7:I$26)/(COUNTIFS($B$7:$B$26,$B31,I$7:I$26,"&lt;&gt;")*3),"")</f>
        <v>0</v>
      </c>
    </row>
    <row r="32" customFormat="false" ht="15" hidden="false" customHeight="false" outlineLevel="0" collapsed="false">
      <c r="B32" s="58" t="s">
        <v>45</v>
      </c>
      <c r="C32" s="58"/>
      <c r="D32" s="59" t="n">
        <f aca="false">IFERROR(SUMIF($B$7:$B$26,$B32,G$7:G$26)/(COUNTIFS($B$7:$B$26,$B32,G$7:G$26,"&lt;&gt;")*3),"")</f>
        <v>0</v>
      </c>
      <c r="E32" s="59" t="n">
        <f aca="false">IFERROR(SUMIF($B$7:$B$26,$B32,H$7:H$26)/(COUNTIFS($B$7:$B$26,$B32,H$7:H$26,"&lt;&gt;")*3),"")</f>
        <v>0</v>
      </c>
      <c r="F32" s="59" t="n">
        <f aca="false">IFERROR(SUMIF($B$7:$B$26,$B32,I$7:I$26)/(COUNTIFS($B$7:$B$26,$B32,I$7:I$26,"&lt;&gt;")*3),"")</f>
        <v>0</v>
      </c>
    </row>
    <row r="33" customFormat="false" ht="15" hidden="false" customHeight="false" outlineLevel="0" collapsed="false">
      <c r="B33" s="58" t="s">
        <v>51</v>
      </c>
      <c r="C33" s="58"/>
      <c r="D33" s="59" t="n">
        <f aca="false">IFERROR(SUMIF($B$7:$B$26,$B33,G$7:G$26)/(COUNTIFS($B$7:$B$26,$B33,G$7:G$26,"&lt;&gt;")*3),"")</f>
        <v>0</v>
      </c>
      <c r="E33" s="59" t="n">
        <f aca="false">IFERROR(SUMIF($B$7:$B$26,$B33,H$7:H$26)/(COUNTIFS($B$7:$B$26,$B33,H$7:H$26,"&lt;&gt;")*3),"")</f>
        <v>0</v>
      </c>
      <c r="F33" s="59" t="n">
        <f aca="false">IFERROR(SUMIF($B$7:$B$26,$B33,I$7:I$26)/(COUNTIFS($B$7:$B$26,$B33,I$7:I$26,"&lt;&gt;")*3),"")</f>
        <v>0</v>
      </c>
    </row>
    <row r="34" customFormat="false" ht="15" hidden="false" customHeight="false" outlineLevel="0" collapsed="false">
      <c r="B34" s="58" t="s">
        <v>57</v>
      </c>
      <c r="C34" s="58"/>
      <c r="D34" s="59" t="n">
        <f aca="false">IFERROR(SUMIF($B$7:$B$26,$B34,G$7:G$26)/(COUNTIFS($B$7:$B$26,$B34,G$7:G$26,"&lt;&gt;")*3),"")</f>
        <v>0</v>
      </c>
      <c r="E34" s="59" t="n">
        <f aca="false">IFERROR(SUMIF($B$7:$B$26,$B34,H$7:H$26)/(COUNTIFS($B$7:$B$26,$B34,H$7:H$26,"&lt;&gt;")*3),"")</f>
        <v>0</v>
      </c>
      <c r="F34" s="59" t="n">
        <f aca="false">IFERROR(SUMIF($B$7:$B$26,$B34,I$7:I$26)/(COUNTIFS($B$7:$B$26,$B34,I$7:I$26,"&lt;&gt;")*3),"")</f>
        <v>0</v>
      </c>
    </row>
    <row r="36" customFormat="false" ht="15" hidden="false" customHeight="false" outlineLevel="0" collapsed="false">
      <c r="B36" s="60" t="s">
        <v>117</v>
      </c>
    </row>
  </sheetData>
  <sheetProtection sheet="true" formatColumns="false" formatRows="false"/>
  <mergeCells count="6">
    <mergeCell ref="B29:C29"/>
    <mergeCell ref="B30:C30"/>
    <mergeCell ref="B31:C31"/>
    <mergeCell ref="B32:C32"/>
    <mergeCell ref="B33:C33"/>
    <mergeCell ref="B34:C34"/>
  </mergeCells>
  <conditionalFormatting sqref="K7:K26">
    <cfRule type="cellIs" priority="2" operator="equal" aboveAverage="0" equalAverage="0" bottom="0" percent="0" rank="0" text="" dxfId="3">
      <formula>"Conversar"</formula>
    </cfRule>
  </conditionalFormatting>
  <dataValidations count="20">
    <dataValidation allowBlank="true" errorStyle="stop" operator="between" showDropDown="false" showErrorMessage="false" showInputMessage="false" sqref="D7:F7" type="list">
      <formula1>Config!$B$2:$E$2</formula1>
      <formula2>0</formula2>
    </dataValidation>
    <dataValidation allowBlank="true" errorStyle="stop" operator="between" showDropDown="false" showErrorMessage="false" showInputMessage="false" sqref="D8:F8" type="list">
      <formula1>Config!$B$3:$E$3</formula1>
      <formula2>0</formula2>
    </dataValidation>
    <dataValidation allowBlank="true" errorStyle="stop" operator="between" showDropDown="false" showErrorMessage="false" showInputMessage="false" sqref="D9:F9" type="list">
      <formula1>Config!$B$4:$E$4</formula1>
      <formula2>0</formula2>
    </dataValidation>
    <dataValidation allowBlank="true" errorStyle="stop" operator="between" showDropDown="false" showErrorMessage="false" showInputMessage="false" sqref="D10:F10" type="list">
      <formula1>Config!$B$5:$E$5</formula1>
      <formula2>0</formula2>
    </dataValidation>
    <dataValidation allowBlank="true" errorStyle="stop" operator="between" showDropDown="false" showErrorMessage="false" showInputMessage="false" sqref="D11:F11" type="list">
      <formula1>Config!$B$6:$E$6</formula1>
      <formula2>0</formula2>
    </dataValidation>
    <dataValidation allowBlank="true" errorStyle="stop" operator="between" showDropDown="false" showErrorMessage="false" showInputMessage="false" sqref="D12:F12" type="list">
      <formula1>Config!$B$7:$E$7</formula1>
      <formula2>0</formula2>
    </dataValidation>
    <dataValidation allowBlank="true" errorStyle="stop" operator="between" showDropDown="false" showErrorMessage="false" showInputMessage="false" sqref="D13:F13" type="list">
      <formula1>Config!$B$8:$E$8</formula1>
      <formula2>0</formula2>
    </dataValidation>
    <dataValidation allowBlank="true" errorStyle="stop" operator="between" showDropDown="false" showErrorMessage="false" showInputMessage="false" sqref="D14:F14" type="list">
      <formula1>Config!$B$9:$E$9</formula1>
      <formula2>0</formula2>
    </dataValidation>
    <dataValidation allowBlank="true" errorStyle="stop" operator="between" showDropDown="false" showErrorMessage="false" showInputMessage="false" sqref="D15:F15" type="list">
      <formula1>Config!$B$10:$E$10</formula1>
      <formula2>0</formula2>
    </dataValidation>
    <dataValidation allowBlank="true" errorStyle="stop" operator="between" showDropDown="false" showErrorMessage="false" showInputMessage="false" sqref="D16:F16" type="list">
      <formula1>Config!$B$11:$E$11</formula1>
      <formula2>0</formula2>
    </dataValidation>
    <dataValidation allowBlank="true" errorStyle="stop" operator="between" showDropDown="false" showErrorMessage="false" showInputMessage="false" sqref="D17:F17" type="list">
      <formula1>Config!$B$12:$E$12</formula1>
      <formula2>0</formula2>
    </dataValidation>
    <dataValidation allowBlank="true" errorStyle="stop" operator="between" showDropDown="false" showErrorMessage="false" showInputMessage="false" sqref="D18:F18" type="list">
      <formula1>Config!$B$13:$E$13</formula1>
      <formula2>0</formula2>
    </dataValidation>
    <dataValidation allowBlank="true" errorStyle="stop" operator="between" showDropDown="false" showErrorMessage="false" showInputMessage="false" sqref="D19:F19" type="list">
      <formula1>Config!$B$14:$E$14</formula1>
      <formula2>0</formula2>
    </dataValidation>
    <dataValidation allowBlank="true" errorStyle="stop" operator="between" showDropDown="false" showErrorMessage="false" showInputMessage="false" sqref="D20:F20" type="list">
      <formula1>Config!$B$15:$E$15</formula1>
      <formula2>0</formula2>
    </dataValidation>
    <dataValidation allowBlank="true" errorStyle="stop" operator="between" showDropDown="false" showErrorMessage="false" showInputMessage="false" sqref="D21:F21" type="list">
      <formula1>Config!$B$16:$E$16</formula1>
      <formula2>0</formula2>
    </dataValidation>
    <dataValidation allowBlank="true" errorStyle="stop" operator="between" showDropDown="false" showErrorMessage="false" showInputMessage="false" sqref="D22:F22" type="list">
      <formula1>Config!$B$17:$E$17</formula1>
      <formula2>0</formula2>
    </dataValidation>
    <dataValidation allowBlank="true" errorStyle="stop" operator="between" showDropDown="false" showErrorMessage="false" showInputMessage="false" sqref="D23:F23" type="list">
      <formula1>Config!$B$18:$E$18</formula1>
      <formula2>0</formula2>
    </dataValidation>
    <dataValidation allowBlank="true" errorStyle="stop" operator="between" showDropDown="false" showErrorMessage="false" showInputMessage="false" sqref="D24:F24" type="list">
      <formula1>Config!$B$19:$E$19</formula1>
      <formula2>0</formula2>
    </dataValidation>
    <dataValidation allowBlank="true" errorStyle="stop" operator="between" showDropDown="false" showErrorMessage="false" showInputMessage="false" sqref="D25:F25" type="list">
      <formula1>Config!$B$20:$E$20</formula1>
      <formula2>0</formula2>
    </dataValidation>
    <dataValidation allowBlank="true" errorStyle="stop" operator="between" showDropDown="false" showErrorMessage="false" showInputMessage="false" sqref="D26:F26" type="list">
      <formula1>Config!$B$21:$E$21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8"/>
  </cols>
  <sheetData>
    <row r="2" customFormat="false" ht="19.7" hidden="false" customHeight="false" outlineLevel="0" collapsed="false">
      <c r="B2" s="11" t="s">
        <v>118</v>
      </c>
    </row>
    <row r="4" customFormat="false" ht="15" hidden="false" customHeight="false" outlineLevel="0" collapsed="false">
      <c r="B4" s="6" t="s">
        <v>119</v>
      </c>
    </row>
    <row r="5" customFormat="false" ht="30" hidden="false" customHeight="true" outlineLevel="0" collapsed="false">
      <c r="B5" s="7" t="s">
        <v>120</v>
      </c>
    </row>
    <row r="7" customFormat="false" ht="15" hidden="false" customHeight="false" outlineLevel="0" collapsed="false">
      <c r="B7" s="6" t="s">
        <v>121</v>
      </c>
    </row>
    <row r="8" customFormat="false" ht="43.5" hidden="false" customHeight="true" outlineLevel="0" collapsed="false">
      <c r="B8" s="7" t="s">
        <v>122</v>
      </c>
    </row>
    <row r="9" customFormat="false" ht="43.5" hidden="false" customHeight="true" outlineLevel="0" collapsed="false">
      <c r="B9" s="7" t="s">
        <v>123</v>
      </c>
    </row>
    <row r="10" customFormat="false" ht="43.5" hidden="false" customHeight="true" outlineLevel="0" collapsed="false">
      <c r="B10" s="7" t="s">
        <v>124</v>
      </c>
    </row>
    <row r="11" customFormat="false" ht="43.5" hidden="false" customHeight="true" outlineLevel="0" collapsed="false">
      <c r="B11" s="7" t="s">
        <v>125</v>
      </c>
    </row>
    <row r="12" customFormat="false" ht="30" hidden="false" customHeight="true" outlineLevel="0" collapsed="false">
      <c r="B12" s="7" t="s">
        <v>126</v>
      </c>
    </row>
    <row r="13" customFormat="false" ht="30" hidden="false" customHeight="true" outlineLevel="0" collapsed="false">
      <c r="B13" s="7" t="s">
        <v>127</v>
      </c>
    </row>
    <row r="14" customFormat="false" ht="30" hidden="false" customHeight="true" outlineLevel="0" collapsed="false">
      <c r="B14" s="7" t="s">
        <v>128</v>
      </c>
    </row>
    <row r="16" customFormat="false" ht="15" hidden="false" customHeight="false" outlineLevel="0" collapsed="false">
      <c r="B16" s="6" t="s">
        <v>129</v>
      </c>
    </row>
    <row r="17" customFormat="false" ht="43.5" hidden="false" customHeight="true" outlineLevel="0" collapsed="false">
      <c r="B17" s="7" t="s">
        <v>130</v>
      </c>
    </row>
    <row r="18" customFormat="false" ht="43.5" hidden="false" customHeight="true" outlineLevel="0" collapsed="false">
      <c r="B18" s="7" t="s">
        <v>131</v>
      </c>
    </row>
    <row r="19" customFormat="false" ht="30" hidden="false" customHeight="true" outlineLevel="0" collapsed="false">
      <c r="B19" s="7" t="s">
        <v>132</v>
      </c>
    </row>
    <row r="21" customFormat="false" ht="15" hidden="false" customHeight="false" outlineLevel="0" collapsed="false">
      <c r="B21" s="6" t="s">
        <v>133</v>
      </c>
    </row>
    <row r="22" customFormat="false" ht="43.5" hidden="false" customHeight="true" outlineLevel="0" collapsed="false">
      <c r="B22" s="7" t="s">
        <v>134</v>
      </c>
    </row>
    <row r="23" customFormat="false" ht="30" hidden="false" customHeight="true" outlineLevel="0" collapsed="false">
      <c r="B23" s="7" t="s">
        <v>135</v>
      </c>
    </row>
    <row r="25" customFormat="false" ht="15" hidden="false" customHeight="false" outlineLevel="0" collapsed="false">
      <c r="B25" s="6" t="s">
        <v>136</v>
      </c>
    </row>
    <row r="26" customFormat="false" ht="30" hidden="false" customHeight="true" outlineLevel="0" collapsed="false">
      <c r="B26" s="7" t="s">
        <v>137</v>
      </c>
    </row>
    <row r="27" customFormat="false" ht="43.5" hidden="false" customHeight="true" outlineLevel="0" collapsed="false">
      <c r="B27" s="7" t="s">
        <v>138</v>
      </c>
    </row>
    <row r="29" customFormat="false" ht="15" hidden="false" customHeight="false" outlineLevel="0" collapsed="false">
      <c r="B29" s="6" t="s">
        <v>139</v>
      </c>
    </row>
    <row r="30" customFormat="false" ht="43.5" hidden="false" customHeight="true" outlineLevel="0" collapsed="false">
      <c r="B30" s="7" t="s">
        <v>140</v>
      </c>
    </row>
    <row r="32" customFormat="false" ht="15" hidden="false" customHeight="false" outlineLevel="0" collapsed="false">
      <c r="B32" s="6" t="s">
        <v>141</v>
      </c>
    </row>
    <row r="33" customFormat="false" ht="30" hidden="false" customHeight="true" outlineLevel="0" collapsed="false">
      <c r="B33" s="7" t="s">
        <v>142</v>
      </c>
    </row>
    <row r="34" customFormat="false" ht="15.75" hidden="false" customHeight="true" outlineLevel="0" collapsed="false">
      <c r="B34" s="7" t="s">
        <v>143</v>
      </c>
    </row>
    <row r="35" customFormat="false" ht="15.75" hidden="false" customHeight="true" outlineLevel="0" collapsed="false">
      <c r="B35" s="7" t="s">
        <v>144</v>
      </c>
    </row>
    <row r="36" customFormat="false" ht="15.75" hidden="false" customHeight="true" outlineLevel="0" collapsed="false">
      <c r="B36" s="7" t="s">
        <v>145</v>
      </c>
    </row>
    <row r="37" customFormat="false" ht="15.75" hidden="false" customHeight="true" outlineLevel="0" collapsed="false">
      <c r="B37" s="7" t="s">
        <v>146</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61" t="s">
        <v>26</v>
      </c>
      <c r="B1" s="61" t="s">
        <v>147</v>
      </c>
      <c r="C1" s="61" t="s">
        <v>148</v>
      </c>
      <c r="D1" s="61" t="s">
        <v>149</v>
      </c>
      <c r="E1" s="61" t="s">
        <v>150</v>
      </c>
      <c r="F1" s="61" t="s">
        <v>151</v>
      </c>
      <c r="G1" s="61"/>
      <c r="H1" s="61" t="s">
        <v>27</v>
      </c>
      <c r="I1" s="61" t="s">
        <v>68</v>
      </c>
      <c r="J1" s="61" t="s">
        <v>152</v>
      </c>
      <c r="K1" s="61"/>
      <c r="L1" s="61" t="s">
        <v>153</v>
      </c>
      <c r="M1" s="61" t="s">
        <v>154</v>
      </c>
    </row>
    <row r="2" customFormat="false" ht="15" hidden="false" customHeight="false" outlineLevel="0" collapsed="false">
      <c r="A2" s="61" t="n">
        <v>1</v>
      </c>
      <c r="B2" s="61" t="s">
        <v>155</v>
      </c>
      <c r="C2" s="61" t="s">
        <v>156</v>
      </c>
      <c r="D2" s="61" t="s">
        <v>157</v>
      </c>
      <c r="E2" s="61" t="s">
        <v>158</v>
      </c>
      <c r="F2" s="61" t="n">
        <v>1</v>
      </c>
      <c r="G2" s="61"/>
      <c r="H2" s="61" t="s">
        <v>33</v>
      </c>
      <c r="I2" s="61" t="s">
        <v>69</v>
      </c>
      <c r="J2" s="61" t="s">
        <v>159</v>
      </c>
      <c r="K2" s="61"/>
      <c r="L2" s="61" t="s">
        <v>160</v>
      </c>
      <c r="M2" s="62" t="n">
        <v>0.7</v>
      </c>
    </row>
    <row r="3" customFormat="false" ht="15" hidden="false" customHeight="false" outlineLevel="0" collapsed="false">
      <c r="A3" s="61" t="n">
        <v>2</v>
      </c>
      <c r="B3" s="61" t="s">
        <v>161</v>
      </c>
      <c r="C3" s="61" t="s">
        <v>162</v>
      </c>
      <c r="D3" s="61" t="s">
        <v>163</v>
      </c>
      <c r="E3" s="61" t="s">
        <v>164</v>
      </c>
      <c r="F3" s="61" t="n">
        <v>1</v>
      </c>
      <c r="G3" s="61"/>
      <c r="H3" s="61" t="s">
        <v>39</v>
      </c>
      <c r="I3" s="61" t="s">
        <v>70</v>
      </c>
      <c r="J3" s="61" t="s">
        <v>165</v>
      </c>
      <c r="K3" s="61"/>
      <c r="L3" s="61" t="s">
        <v>166</v>
      </c>
      <c r="M3" s="62" t="n">
        <v>0.45</v>
      </c>
    </row>
    <row r="4" customFormat="false" ht="15" hidden="false" customHeight="false" outlineLevel="0" collapsed="false">
      <c r="A4" s="61" t="n">
        <v>3</v>
      </c>
      <c r="B4" s="61" t="s">
        <v>167</v>
      </c>
      <c r="C4" s="61" t="s">
        <v>168</v>
      </c>
      <c r="D4" s="61" t="s">
        <v>169</v>
      </c>
      <c r="E4" s="61" t="s">
        <v>170</v>
      </c>
      <c r="F4" s="61" t="n">
        <v>0</v>
      </c>
      <c r="G4" s="61"/>
      <c r="H4" s="61" t="s">
        <v>45</v>
      </c>
      <c r="I4" s="61" t="s">
        <v>71</v>
      </c>
      <c r="J4" s="61" t="s">
        <v>171</v>
      </c>
      <c r="K4" s="61"/>
      <c r="L4" s="61" t="s">
        <v>172</v>
      </c>
      <c r="M4" s="62" t="n">
        <v>0.5</v>
      </c>
    </row>
    <row r="5" customFormat="false" ht="15" hidden="false" customHeight="false" outlineLevel="0" collapsed="false">
      <c r="A5" s="61" t="n">
        <v>4</v>
      </c>
      <c r="B5" s="61" t="s">
        <v>173</v>
      </c>
      <c r="C5" s="61" t="s">
        <v>174</v>
      </c>
      <c r="D5" s="61" t="s">
        <v>175</v>
      </c>
      <c r="E5" s="61" t="s">
        <v>176</v>
      </c>
      <c r="F5" s="61" t="n">
        <v>0</v>
      </c>
      <c r="G5" s="61"/>
      <c r="H5" s="61" t="s">
        <v>51</v>
      </c>
      <c r="I5" s="61" t="s">
        <v>72</v>
      </c>
      <c r="J5" s="61" t="s">
        <v>177</v>
      </c>
      <c r="K5" s="61"/>
      <c r="L5" s="61" t="s">
        <v>178</v>
      </c>
      <c r="M5" s="61" t="n">
        <v>2</v>
      </c>
    </row>
    <row r="6" customFormat="false" ht="15" hidden="false" customHeight="false" outlineLevel="0" collapsed="false">
      <c r="A6" s="61" t="n">
        <v>5</v>
      </c>
      <c r="B6" s="61" t="s">
        <v>179</v>
      </c>
      <c r="C6" s="61" t="s">
        <v>180</v>
      </c>
      <c r="D6" s="61" t="s">
        <v>181</v>
      </c>
      <c r="E6" s="61" t="s">
        <v>182</v>
      </c>
      <c r="F6" s="61" t="n">
        <v>1</v>
      </c>
      <c r="G6" s="61"/>
      <c r="H6" s="61" t="s">
        <v>57</v>
      </c>
      <c r="I6" s="61" t="s">
        <v>73</v>
      </c>
      <c r="J6" s="61" t="s">
        <v>183</v>
      </c>
      <c r="K6" s="61"/>
      <c r="L6" s="61"/>
      <c r="M6" s="61"/>
    </row>
    <row r="7" customFormat="false" ht="15" hidden="false" customHeight="false" outlineLevel="0" collapsed="false">
      <c r="A7" s="61" t="n">
        <v>6</v>
      </c>
      <c r="B7" s="61" t="s">
        <v>184</v>
      </c>
      <c r="C7" s="61" t="s">
        <v>185</v>
      </c>
      <c r="D7" s="61" t="s">
        <v>186</v>
      </c>
      <c r="E7" s="61" t="s">
        <v>187</v>
      </c>
      <c r="F7" s="61" t="n">
        <v>0</v>
      </c>
      <c r="G7" s="61"/>
      <c r="H7" s="61"/>
      <c r="I7" s="61"/>
      <c r="J7" s="61"/>
      <c r="K7" s="61"/>
      <c r="L7" s="61" t="s">
        <v>188</v>
      </c>
      <c r="M7" s="61"/>
    </row>
    <row r="8" customFormat="false" ht="15" hidden="false" customHeight="false" outlineLevel="0" collapsed="false">
      <c r="A8" s="61" t="n">
        <v>7</v>
      </c>
      <c r="B8" s="61" t="s">
        <v>189</v>
      </c>
      <c r="C8" s="61" t="s">
        <v>190</v>
      </c>
      <c r="D8" s="61" t="s">
        <v>191</v>
      </c>
      <c r="E8" s="61" t="s">
        <v>192</v>
      </c>
      <c r="F8" s="61" t="n">
        <v>0</v>
      </c>
      <c r="G8" s="61"/>
      <c r="H8" s="61"/>
      <c r="I8" s="61"/>
      <c r="J8" s="61"/>
      <c r="K8" s="61"/>
      <c r="L8" s="61"/>
      <c r="M8" s="61"/>
    </row>
    <row r="9" customFormat="false" ht="15" hidden="false" customHeight="false" outlineLevel="0" collapsed="false">
      <c r="A9" s="61" t="n">
        <v>8</v>
      </c>
      <c r="B9" s="61" t="s">
        <v>193</v>
      </c>
      <c r="C9" s="61" t="s">
        <v>194</v>
      </c>
      <c r="D9" s="61" t="s">
        <v>195</v>
      </c>
      <c r="E9" s="61" t="s">
        <v>196</v>
      </c>
      <c r="F9" s="61" t="n">
        <v>0</v>
      </c>
      <c r="G9" s="61"/>
      <c r="H9" s="61"/>
      <c r="I9" s="61"/>
      <c r="J9" s="61"/>
      <c r="K9" s="61"/>
      <c r="L9" s="61"/>
      <c r="M9" s="61"/>
    </row>
    <row r="10" customFormat="false" ht="15" hidden="false" customHeight="false" outlineLevel="0" collapsed="false">
      <c r="A10" s="61" t="n">
        <v>9</v>
      </c>
      <c r="B10" s="61" t="s">
        <v>197</v>
      </c>
      <c r="C10" s="61" t="s">
        <v>198</v>
      </c>
      <c r="D10" s="61" t="s">
        <v>199</v>
      </c>
      <c r="E10" s="61" t="s">
        <v>200</v>
      </c>
      <c r="F10" s="61" t="n">
        <v>1</v>
      </c>
      <c r="G10" s="61"/>
      <c r="H10" s="61"/>
      <c r="I10" s="61"/>
      <c r="J10" s="61"/>
      <c r="K10" s="61"/>
      <c r="L10" s="61"/>
      <c r="M10" s="61"/>
    </row>
    <row r="11" customFormat="false" ht="15" hidden="false" customHeight="false" outlineLevel="0" collapsed="false">
      <c r="A11" s="61" t="n">
        <v>10</v>
      </c>
      <c r="B11" s="61" t="s">
        <v>201</v>
      </c>
      <c r="C11" s="61" t="s">
        <v>202</v>
      </c>
      <c r="D11" s="61" t="s">
        <v>203</v>
      </c>
      <c r="E11" s="61" t="s">
        <v>204</v>
      </c>
      <c r="F11" s="61" t="n">
        <v>0</v>
      </c>
      <c r="G11" s="61"/>
      <c r="H11" s="61"/>
      <c r="I11" s="61"/>
      <c r="J11" s="61"/>
      <c r="K11" s="61"/>
      <c r="L11" s="61"/>
      <c r="M11" s="61"/>
    </row>
    <row r="12" customFormat="false" ht="15" hidden="false" customHeight="false" outlineLevel="0" collapsed="false">
      <c r="A12" s="61" t="n">
        <v>11</v>
      </c>
      <c r="B12" s="61" t="s">
        <v>205</v>
      </c>
      <c r="C12" s="61" t="s">
        <v>206</v>
      </c>
      <c r="D12" s="61" t="s">
        <v>207</v>
      </c>
      <c r="E12" s="61" t="s">
        <v>208</v>
      </c>
      <c r="F12" s="61" t="n">
        <v>0</v>
      </c>
      <c r="G12" s="61"/>
      <c r="H12" s="61"/>
      <c r="I12" s="61"/>
      <c r="J12" s="61"/>
      <c r="K12" s="61"/>
      <c r="L12" s="61"/>
      <c r="M12" s="61"/>
    </row>
    <row r="13" customFormat="false" ht="15" hidden="false" customHeight="false" outlineLevel="0" collapsed="false">
      <c r="A13" s="61" t="n">
        <v>12</v>
      </c>
      <c r="B13" s="61" t="s">
        <v>209</v>
      </c>
      <c r="C13" s="61" t="s">
        <v>210</v>
      </c>
      <c r="D13" s="61" t="s">
        <v>211</v>
      </c>
      <c r="E13" s="61" t="s">
        <v>212</v>
      </c>
      <c r="F13" s="61" t="n">
        <v>0</v>
      </c>
      <c r="G13" s="61"/>
      <c r="H13" s="61"/>
      <c r="I13" s="61"/>
      <c r="J13" s="61"/>
      <c r="K13" s="61"/>
      <c r="L13" s="61"/>
      <c r="M13" s="61"/>
    </row>
    <row r="14" customFormat="false" ht="15" hidden="false" customHeight="false" outlineLevel="0" collapsed="false">
      <c r="A14" s="61" t="n">
        <v>13</v>
      </c>
      <c r="B14" s="61" t="s">
        <v>213</v>
      </c>
      <c r="C14" s="61" t="s">
        <v>214</v>
      </c>
      <c r="D14" s="61" t="s">
        <v>215</v>
      </c>
      <c r="E14" s="61" t="s">
        <v>216</v>
      </c>
      <c r="F14" s="61" t="n">
        <v>0</v>
      </c>
      <c r="G14" s="61"/>
      <c r="H14" s="61"/>
      <c r="I14" s="61"/>
      <c r="J14" s="61"/>
      <c r="K14" s="61"/>
      <c r="L14" s="61"/>
      <c r="M14" s="61"/>
    </row>
    <row r="15" customFormat="false" ht="15" hidden="false" customHeight="false" outlineLevel="0" collapsed="false">
      <c r="A15" s="61" t="n">
        <v>14</v>
      </c>
      <c r="B15" s="61" t="s">
        <v>217</v>
      </c>
      <c r="C15" s="61" t="s">
        <v>218</v>
      </c>
      <c r="D15" s="61" t="s">
        <v>219</v>
      </c>
      <c r="E15" s="61" t="s">
        <v>220</v>
      </c>
      <c r="F15" s="61" t="n">
        <v>0</v>
      </c>
      <c r="G15" s="61"/>
      <c r="H15" s="61"/>
      <c r="I15" s="61"/>
      <c r="J15" s="61"/>
      <c r="K15" s="61"/>
      <c r="L15" s="61"/>
      <c r="M15" s="61"/>
    </row>
    <row r="16" customFormat="false" ht="15" hidden="false" customHeight="false" outlineLevel="0" collapsed="false">
      <c r="A16" s="61" t="n">
        <v>15</v>
      </c>
      <c r="B16" s="61" t="s">
        <v>221</v>
      </c>
      <c r="C16" s="61" t="s">
        <v>222</v>
      </c>
      <c r="D16" s="61" t="s">
        <v>223</v>
      </c>
      <c r="E16" s="61" t="s">
        <v>224</v>
      </c>
      <c r="F16" s="61" t="n">
        <v>0</v>
      </c>
      <c r="G16" s="61"/>
      <c r="H16" s="61"/>
      <c r="I16" s="61"/>
      <c r="J16" s="61"/>
      <c r="K16" s="61"/>
      <c r="L16" s="61"/>
      <c r="M16" s="61"/>
    </row>
    <row r="17" customFormat="false" ht="15" hidden="false" customHeight="false" outlineLevel="0" collapsed="false">
      <c r="A17" s="61" t="n">
        <v>16</v>
      </c>
      <c r="B17" s="61" t="s">
        <v>225</v>
      </c>
      <c r="C17" s="61" t="s">
        <v>226</v>
      </c>
      <c r="D17" s="61" t="s">
        <v>227</v>
      </c>
      <c r="E17" s="61" t="s">
        <v>228</v>
      </c>
      <c r="F17" s="61" t="n">
        <v>0</v>
      </c>
      <c r="G17" s="61"/>
      <c r="H17" s="61"/>
      <c r="I17" s="61"/>
      <c r="J17" s="61"/>
      <c r="K17" s="61"/>
      <c r="L17" s="61"/>
      <c r="M17" s="61"/>
    </row>
    <row r="18" customFormat="false" ht="15" hidden="false" customHeight="false" outlineLevel="0" collapsed="false">
      <c r="A18" s="61" t="n">
        <v>17</v>
      </c>
      <c r="B18" s="61" t="s">
        <v>229</v>
      </c>
      <c r="C18" s="61" t="s">
        <v>230</v>
      </c>
      <c r="D18" s="61" t="s">
        <v>231</v>
      </c>
      <c r="E18" s="61" t="s">
        <v>232</v>
      </c>
      <c r="F18" s="61" t="n">
        <v>0</v>
      </c>
      <c r="G18" s="61"/>
      <c r="H18" s="61"/>
      <c r="I18" s="61"/>
      <c r="J18" s="61"/>
      <c r="K18" s="61"/>
      <c r="L18" s="61"/>
      <c r="M18" s="61"/>
    </row>
    <row r="19" customFormat="false" ht="15" hidden="false" customHeight="false" outlineLevel="0" collapsed="false">
      <c r="A19" s="61" t="n">
        <v>18</v>
      </c>
      <c r="B19" s="61" t="s">
        <v>233</v>
      </c>
      <c r="C19" s="61" t="s">
        <v>234</v>
      </c>
      <c r="D19" s="61" t="s">
        <v>235</v>
      </c>
      <c r="E19" s="61" t="s">
        <v>236</v>
      </c>
      <c r="F19" s="61" t="n">
        <v>0</v>
      </c>
      <c r="G19" s="61"/>
      <c r="H19" s="61"/>
      <c r="I19" s="61"/>
      <c r="J19" s="61"/>
      <c r="K19" s="61"/>
      <c r="L19" s="61"/>
      <c r="M19" s="61"/>
    </row>
    <row r="20" customFormat="false" ht="15" hidden="false" customHeight="false" outlineLevel="0" collapsed="false">
      <c r="A20" s="61" t="n">
        <v>19</v>
      </c>
      <c r="B20" s="61" t="s">
        <v>237</v>
      </c>
      <c r="C20" s="61" t="s">
        <v>238</v>
      </c>
      <c r="D20" s="61" t="s">
        <v>239</v>
      </c>
      <c r="E20" s="61" t="s">
        <v>240</v>
      </c>
      <c r="F20" s="61" t="n">
        <v>0</v>
      </c>
      <c r="G20" s="61"/>
      <c r="H20" s="61"/>
      <c r="I20" s="61"/>
      <c r="J20" s="61"/>
      <c r="K20" s="61"/>
      <c r="L20" s="61"/>
      <c r="M20" s="61"/>
    </row>
    <row r="21" customFormat="false" ht="15" hidden="false" customHeight="false" outlineLevel="0" collapsed="false">
      <c r="A21" s="61" t="n">
        <v>20</v>
      </c>
      <c r="B21" s="61" t="s">
        <v>241</v>
      </c>
      <c r="C21" s="61" t="s">
        <v>242</v>
      </c>
      <c r="D21" s="61" t="s">
        <v>243</v>
      </c>
      <c r="E21" s="61" t="s">
        <v>244</v>
      </c>
      <c r="F21" s="61" t="n">
        <v>0</v>
      </c>
      <c r="G21" s="61"/>
      <c r="H21" s="61"/>
      <c r="I21" s="61"/>
      <c r="J21" s="61"/>
      <c r="K21" s="61"/>
      <c r="L21" s="61"/>
      <c r="M21" s="6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2026-10-12T21:27:09Z</dcterms:created>
  <dc:creator>openpyxl</dc:creator>
  <dc:description/>
  <dc:language>en-US</dc:language>
  <cp:lastModifiedBy/>
  <dcterms:modified xsi:type="dcterms:W3CDTF">2026-10-12T18:27:11Z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