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rive\Procesos-Claros-WS\Procesos-Claros-WS\public\descargas\"/>
    </mc:Choice>
  </mc:AlternateContent>
  <xr:revisionPtr revIDLastSave="0" documentId="13_ncr:1_{984192DE-7943-48F4-AD47-47F5AADA7B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ómo usar" sheetId="1" r:id="rId1"/>
    <sheet name="Test" sheetId="2" r:id="rId2"/>
    <sheet name="Resultado" sheetId="3" r:id="rId3"/>
    <sheet name="Listas" sheetId="4" state="hidden" r:id="rId4"/>
  </sheets>
  <definedNames>
    <definedName name="_xlnm.Print_Titles" localSheetId="1">Test!$9:$9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3" l="1"/>
  <c r="F21" i="3"/>
  <c r="D21" i="3"/>
  <c r="G20" i="3"/>
  <c r="F20" i="3"/>
  <c r="D20" i="3"/>
  <c r="G19" i="3"/>
  <c r="F19" i="3"/>
  <c r="D19" i="3"/>
  <c r="G18" i="3"/>
  <c r="F18" i="3"/>
  <c r="D18" i="3"/>
  <c r="G17" i="3"/>
  <c r="F17" i="3"/>
  <c r="D17" i="3"/>
  <c r="D10" i="3"/>
  <c r="D9" i="3"/>
  <c r="C9" i="3"/>
  <c r="B3" i="3"/>
  <c r="F29" i="2"/>
  <c r="F28" i="2"/>
  <c r="F27" i="2"/>
  <c r="F26" i="2"/>
  <c r="C21" i="3" s="1"/>
  <c r="F25" i="2"/>
  <c r="F24" i="2"/>
  <c r="F23" i="2"/>
  <c r="F22" i="2"/>
  <c r="C20" i="3" s="1"/>
  <c r="F21" i="2"/>
  <c r="F20" i="2"/>
  <c r="F19" i="2"/>
  <c r="F18" i="2"/>
  <c r="C19" i="3" s="1"/>
  <c r="F17" i="2"/>
  <c r="F16" i="2"/>
  <c r="F15" i="2"/>
  <c r="F14" i="2"/>
  <c r="C18" i="3" s="1"/>
  <c r="E18" i="3" s="1"/>
  <c r="F13" i="2"/>
  <c r="F12" i="2"/>
  <c r="F11" i="2"/>
  <c r="F10" i="2"/>
  <c r="E21" i="3" l="1"/>
  <c r="E20" i="3"/>
  <c r="C17" i="3"/>
  <c r="E17" i="3" s="1"/>
  <c r="C10" i="3"/>
  <c r="E19" i="3"/>
  <c r="C26" i="3"/>
  <c r="B26" i="3"/>
  <c r="C25" i="3"/>
  <c r="B25" i="3"/>
  <c r="C13" i="3"/>
  <c r="C11" i="3"/>
  <c r="H18" i="3" l="1"/>
  <c r="H17" i="3"/>
  <c r="H21" i="3"/>
  <c r="H19" i="3"/>
  <c r="H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Procesos Claros</author>
  </authors>
  <commentList>
    <comment ref="C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Umbral de Procesos Claros, alineado con el checklist de 10 preguntas publicado en procesosclaros.cl/blog.</t>
        </r>
      </text>
    </comment>
  </commentList>
</comments>
</file>

<file path=xl/sharedStrings.xml><?xml version="1.0" encoding="utf-8"?>
<sst xmlns="http://schemas.openxmlformats.org/spreadsheetml/2006/main" count="121" uniqueCount="89">
  <si>
    <t>PROCESOS CLAROS · Consultoría independiente de procesos</t>
  </si>
  <si>
    <t>Test de madurez operativa</t>
  </si>
  <si>
    <t>¿Tu empresa está lista para implementar un ERP?</t>
  </si>
  <si>
    <t>Para qué sirve</t>
  </si>
  <si>
    <t>Un sistema de gestión multiplica lo que tu empresa ya hace: si los procesos están claros, acelera; si no, acelera el desorden. Este test te muestra en 15 minutos qué tan definida está tu operación y por dónde conviene empezar a ordenar.</t>
  </si>
  <si>
    <t>Cómo se responde</t>
  </si>
  <si>
    <t>En la hoja «Test», elige una respuesta en cada una de las 20 preguntas (celdas amarillas). Responde con honestidad: una respuesta cuenta como «definida» solo si tu equipo respondería lo mismo.</t>
  </si>
  <si>
    <t>Cómo se lee</t>
  </si>
  <si>
    <t>La hoja «Resultado» se calcula sola: puntaje por área, un gráfico y las dos áreas por donde conviene empezar. El veredicto aparece cuando las 20 preguntas están respondidas.</t>
  </si>
  <si>
    <t>Consejo</t>
  </si>
  <si>
    <t>Pide a dos o tres personas de tu operación que respondan el test por separado y comparen. Las diferencias entre respuestas son, en sí mismas, un hallazgo.</t>
  </si>
  <si>
    <t>Escala de respuestas</t>
  </si>
  <si>
    <t>0 · No existe</t>
  </si>
  <si>
    <t>No hay nada definido; cada vez se resuelve distinto.</t>
  </si>
  <si>
    <t>1 · Está en la cabeza de alguien</t>
  </si>
  <si>
    <t>Se hace, pero depende de que una persona lo recuerde.</t>
  </si>
  <si>
    <t>2 · Existe, pero no siempre se cumple</t>
  </si>
  <si>
    <t>Hay una forma acordada, pero a veces no se sigue.</t>
  </si>
  <si>
    <t>3 · Definido, escrito y se cumple</t>
  </si>
  <si>
    <t>Está acordado, escrito y el equipo lo cumple.</t>
  </si>
  <si>
    <t>Leyenda</t>
  </si>
  <si>
    <t>Celda amarilla</t>
  </si>
  <si>
    <t>Es para completar. Todo lo demás se calcula solo y está protegido para no borrarlo por error.</t>
  </si>
  <si>
    <t>Ejemplo de una respuesta</t>
  </si>
  <si>
    <t>Pregunta</t>
  </si>
  <si>
    <t>¿Tienes un catálogo de productos o servicios único, actualizado y sin duplicados?</t>
  </si>
  <si>
    <t>Respuesta</t>
  </si>
  <si>
    <t>Puntaje</t>
  </si>
  <si>
    <t>1 de 3</t>
  </si>
  <si>
    <t>Nota</t>
  </si>
  <si>
    <t>Ventas usa su lista y bodega otra; hay códigos repetidos para el mismo producto.</t>
  </si>
  <si>
    <t>¿Quieres revisar tu resultado con alguien?</t>
  </si>
  <si>
    <t>Agenda un diagnóstico gratuito de 30 minutos en procesosclaros.cl/contacto</t>
  </si>
  <si>
    <t>Elige una respuesta en cada celda amarilla. El puntaje y el resultado se calculan solos.</t>
  </si>
  <si>
    <t>Empresa</t>
  </si>
  <si>
    <t>Responde</t>
  </si>
  <si>
    <t>Fecha</t>
  </si>
  <si>
    <t>N°</t>
  </si>
  <si>
    <t>Área</t>
  </si>
  <si>
    <t>Nota o evidencia (opcional)</t>
  </si>
  <si>
    <t>Flujo de trabajo y responsables</t>
  </si>
  <si>
    <t>¿Puedes describir, de principio a fin, cómo fluye un pedido desde que el cliente lo solicita hasta que el dinero está en tu cuenta?</t>
  </si>
  <si>
    <t>¿Existe una sola persona responsable por cada etapa de ese flujo, y todos saben quién es?</t>
  </si>
  <si>
    <t>¿Tu equipo hace las mismas tareas de la misma forma, independientemente de quién esté de turno?</t>
  </si>
  <si>
    <t>¿El trabajo pasa de un área a otra sin que haya que perseguir a nadie para que avance?</t>
  </si>
  <si>
    <t>Datos e información</t>
  </si>
  <si>
    <t>¿La información de tus clientes vive en un solo lugar, o está repartida entre planillas, correos y libretas?</t>
  </si>
  <si>
    <t>¿Puedes saber hoy, sin preguntarle a nadie, en qué estado está cualquier pedido en curso?</t>
  </si>
  <si>
    <t>¿Cada dato se registra una sola vez, en vez de copiarse entre varias planillas?</t>
  </si>
  <si>
    <t>Excepciones y control</t>
  </si>
  <si>
    <t>¿Tienes definido qué hacer cuando algo sale mal: un despacho incompleto, una devolución, un cliente moroso?</t>
  </si>
  <si>
    <t>¿Los errores se detectan dentro de la empresa antes de que el cliente se queje?</t>
  </si>
  <si>
    <t>¿Está claro quién puede aprobar descuentos, créditos o compras, y hasta qué monto?</t>
  </si>
  <si>
    <t>¿Hay un control periódico de inventario o de caja que cuadre con lo registrado?</t>
  </si>
  <si>
    <t>Costos y medición</t>
  </si>
  <si>
    <t>¿Sabes cuánto te cuesta realmente entregar tu producto o servicio, incluyendo el tiempo del equipo?</t>
  </si>
  <si>
    <t>¿Has definido qué quieres medir del negocio y con qué frecuencia lo vas a revisar?</t>
  </si>
  <si>
    <t>¿Los números del mes están disponibles en los primeros días del mes siguiente?</t>
  </si>
  <si>
    <t>¿Las decisiones importantes se toman con datos y no solo por intuición?</t>
  </si>
  <si>
    <t>Documentación y equipo</t>
  </si>
  <si>
    <t>¿Existe algún documento, aunque sea básico, que explique cómo se hace el trabajo más allá de la memoria de las personas?</t>
  </si>
  <si>
    <t>¿Si una persona clave falta una semana, la operación sigue sin problemas?</t>
  </si>
  <si>
    <t>¿Una persona nueva puede aprender su trabajo sin depender de que alguien se lo explique todo de memoria?</t>
  </si>
  <si>
    <t>¿Tu equipo entiende por qué conviene ordenar los procesos antes de cambiar de sistema?</t>
  </si>
  <si>
    <t>Resultado</t>
  </si>
  <si>
    <t>Criterio de lectura</t>
  </si>
  <si>
    <t>Lista para un sistema desde</t>
  </si>
  <si>
    <t>Equivale a 8 de 10 respuestas claras en el checklist del artículo «Cómo saber si tu empresa está lista para digitalizar».</t>
  </si>
  <si>
    <t>Zona intermedia desde</t>
  </si>
  <si>
    <t>Equivale a 5 de 10. Bajo este umbral, lo que corresponde es ordenar antes de comprar software.</t>
  </si>
  <si>
    <t>Preguntas respondidas</t>
  </si>
  <si>
    <t>Puntaje total</t>
  </si>
  <si>
    <t>Madurez general</t>
  </si>
  <si>
    <t>Veredicto</t>
  </si>
  <si>
    <t>Máximo</t>
  </si>
  <si>
    <t>Madurez</t>
  </si>
  <si>
    <t>Respondidas</t>
  </si>
  <si>
    <t>Estado</t>
  </si>
  <si>
    <t>Prioridad</t>
  </si>
  <si>
    <t>Qué hacer primero</t>
  </si>
  <si>
    <t>Dibuja el recorrido de un pedido de principio a fin y asigna un solo responsable por etapa.</t>
  </si>
  <si>
    <t>Unifica catálogo y clientes en una sola fuente y elimina duplicados antes de migrar nada a un sistema.</t>
  </si>
  <si>
    <t>Escribe qué se hace cuando algo sale mal (devoluciones, despachos incompletos, morosos) y quién aprueba qué.</t>
  </si>
  <si>
    <t>Calcula el costo real de entregar y define de 3 a 5 indicadores con una fecha fija de revisión.</t>
  </si>
  <si>
    <t>Documenta las tareas críticas en manuales breves y prepara al equipo para el cambio antes de elegir sistema.</t>
  </si>
  <si>
    <t>Por dónde empezar</t>
  </si>
  <si>
    <t>¿Quieres revisar este resultado con alguien?</t>
  </si>
  <si>
    <t>Agenda un diagnóstico gratuito de 30 minutos → procesosclaros.cl/contacto</t>
  </si>
  <si>
    <t>Madurez por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</si>
</sst>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5" x14ac:knownFonts="1">
    <font>
      <sz val="11"/>
      <color theme="1"/>
      <name val="Calibri"/>
      <family val="2"/>
      <scheme val="minor"/>
    </font>
    <font>
      <sz val="10"/>
      <color rgb="FF1A1C1F"/>
      <name val="Arial"/>
    </font>
    <font>
      <sz val="9"/>
      <color rgb="FF5B6068"/>
      <name val="Arial"/>
    </font>
    <font>
      <b/>
      <sz val="22"/>
      <color rgb="FF1A1C1F"/>
      <name val="Arial"/>
    </font>
    <font>
      <b/>
      <sz val="13"/>
      <color rgb="FF0E5A66"/>
      <name val="Arial"/>
    </font>
    <font>
      <b/>
      <sz val="10"/>
      <color rgb="FF1A1C1F"/>
      <name val="Arial"/>
    </font>
    <font>
      <b/>
      <sz val="11"/>
      <color rgb="FF1A1C1F"/>
      <name val="Arial"/>
    </font>
    <font>
      <sz val="10"/>
      <color rgb="FF5B6068"/>
      <name val="Arial"/>
    </font>
    <font>
      <b/>
      <sz val="11"/>
      <color rgb="FF0E5A66"/>
      <name val="Arial"/>
    </font>
    <font>
      <u/>
      <sz val="10"/>
      <color rgb="FF0E5A66"/>
      <name val="Arial"/>
    </font>
    <font>
      <b/>
      <sz val="16"/>
      <color rgb="FF1A1C1F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2"/>
      <color rgb="FF1A1C1F"/>
      <name val="Arial"/>
    </font>
    <font>
      <b/>
      <sz val="12"/>
      <color rgb="FF0E5A6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A1C1F"/>
        <bgColor rgb="FF1A1C1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5D7DA"/>
      </bottom>
      <diagonal/>
    </border>
    <border>
      <left style="thin">
        <color rgb="FFD5D7DA"/>
      </left>
      <right style="thin">
        <color rgb="FFD5D7DA"/>
      </right>
      <top style="thin">
        <color rgb="FFD5D7DA"/>
      </top>
      <bottom style="thin">
        <color rgb="FFD5D7DA"/>
      </bottom>
      <diagonal/>
    </border>
    <border>
      <left/>
      <right/>
      <top/>
      <bottom style="medium">
        <color rgb="FF1A1C1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6" fillId="0" borderId="0" xfId="0" applyFont="1"/>
    <xf numFmtId="0" fontId="5" fillId="0" borderId="1" xfId="0" applyFont="1" applyBorder="1"/>
    <xf numFmtId="0" fontId="1" fillId="0" borderId="1" xfId="0" applyFont="1" applyBorder="1"/>
    <xf numFmtId="0" fontId="1" fillId="2" borderId="2" xfId="0" applyFont="1" applyFill="1" applyBorder="1"/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1" fillId="2" borderId="1" xfId="0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2" borderId="3" xfId="0" applyFont="1" applyFill="1" applyBorder="1" applyAlignment="1" applyProtection="1">
      <alignment horizontal="left" vertical="top" wrapText="1"/>
      <protection locked="0"/>
    </xf>
    <xf numFmtId="0" fontId="5" fillId="0" borderId="3" xfId="0" applyFont="1" applyBorder="1" applyAlignment="1">
      <alignment horizontal="center" vertical="top" wrapText="1"/>
    </xf>
    <xf numFmtId="0" fontId="1" fillId="0" borderId="3" xfId="0" applyFont="1" applyBorder="1" applyAlignment="1" applyProtection="1">
      <alignment horizontal="left" vertical="top" wrapText="1"/>
      <protection locked="0"/>
    </xf>
    <xf numFmtId="9" fontId="12" fillId="0" borderId="0" xfId="0" applyNumberFormat="1" applyFont="1"/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5" fillId="0" borderId="0" xfId="0" applyFont="1" applyAlignment="1">
      <alignment vertical="top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0" xfId="0" applyFont="1"/>
    <xf numFmtId="0" fontId="5" fillId="0" borderId="0" xfId="0" applyFont="1" applyAlignment="1">
      <alignment vertical="top" wrapText="1"/>
    </xf>
    <xf numFmtId="0" fontId="13" fillId="0" borderId="0" xfId="0" applyFont="1"/>
    <xf numFmtId="0" fontId="9" fillId="0" borderId="0" xfId="0" applyFont="1"/>
    <xf numFmtId="0" fontId="0" fillId="0" borderId="0" xfId="0"/>
    <xf numFmtId="0" fontId="1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2D5D5"/>
          <bgColor rgb="FFF2D5D5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0E5A66"/>
            </a:solidFill>
            <a:ln>
              <a:solidFill>
                <a:srgbClr val="0E5A6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Resultado!$B$17:$B$21</c:f>
              <c:strCache>
                <c:ptCount val="5"/>
                <c:pt idx="0">
                  <c:v>Flujo de trabajo y responsables</c:v>
                </c:pt>
                <c:pt idx="1">
                  <c:v>Datos e información</c:v>
                </c:pt>
                <c:pt idx="2">
                  <c:v>Excepciones y control</c:v>
                </c:pt>
                <c:pt idx="3">
                  <c:v>Costos y medición</c:v>
                </c:pt>
                <c:pt idx="4">
                  <c:v>Documentación y equipo</c:v>
                </c:pt>
              </c:strCache>
            </c:strRef>
          </c:cat>
          <c:val>
            <c:numRef>
              <c:f>Resultado!$E$17:$E$21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E5A6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A37-4A7D-BEBC-AED4B937F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t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ocesosclaros.cl/contact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procesosclaros.cl/contacto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C1F"/>
    <pageSetUpPr fitToPage="1"/>
  </sheetPr>
  <dimension ref="B2:C28"/>
  <sheetViews>
    <sheetView showGridLines="0" tabSelected="1" workbookViewId="0"/>
  </sheetViews>
  <sheetFormatPr baseColWidth="10" defaultColWidth="8.88671875" defaultRowHeight="14.4" x14ac:dyDescent="0.3"/>
  <cols>
    <col min="1" max="1" width="3" customWidth="1"/>
    <col min="2" max="2" width="34" customWidth="1"/>
    <col min="3" max="3" width="70" customWidth="1"/>
  </cols>
  <sheetData>
    <row r="2" spans="2:3" x14ac:dyDescent="0.3">
      <c r="B2" s="1" t="s">
        <v>0</v>
      </c>
    </row>
    <row r="4" spans="2:3" ht="28.2" x14ac:dyDescent="0.5">
      <c r="B4" s="2" t="s">
        <v>1</v>
      </c>
    </row>
    <row r="5" spans="2:3" ht="16.8" x14ac:dyDescent="0.3">
      <c r="B5" s="3" t="s">
        <v>2</v>
      </c>
    </row>
    <row r="7" spans="2:3" ht="54" customHeight="1" x14ac:dyDescent="0.3">
      <c r="B7" s="4" t="s">
        <v>3</v>
      </c>
      <c r="C7" s="5" t="s">
        <v>4</v>
      </c>
    </row>
    <row r="8" spans="2:3" ht="54" customHeight="1" x14ac:dyDescent="0.3">
      <c r="B8" s="4" t="s">
        <v>5</v>
      </c>
      <c r="C8" s="5" t="s">
        <v>6</v>
      </c>
    </row>
    <row r="9" spans="2:3" ht="54" customHeight="1" x14ac:dyDescent="0.3">
      <c r="B9" s="4" t="s">
        <v>7</v>
      </c>
      <c r="C9" s="5" t="s">
        <v>8</v>
      </c>
    </row>
    <row r="10" spans="2:3" ht="54" customHeight="1" x14ac:dyDescent="0.3">
      <c r="B10" s="4" t="s">
        <v>9</v>
      </c>
      <c r="C10" s="5" t="s">
        <v>10</v>
      </c>
    </row>
    <row r="12" spans="2:3" x14ac:dyDescent="0.3">
      <c r="B12" s="6" t="s">
        <v>11</v>
      </c>
    </row>
    <row r="13" spans="2:3" x14ac:dyDescent="0.3">
      <c r="B13" s="7" t="s">
        <v>12</v>
      </c>
      <c r="C13" s="8" t="s">
        <v>13</v>
      </c>
    </row>
    <row r="14" spans="2:3" x14ac:dyDescent="0.3">
      <c r="B14" s="7" t="s">
        <v>14</v>
      </c>
      <c r="C14" s="8" t="s">
        <v>15</v>
      </c>
    </row>
    <row r="15" spans="2:3" x14ac:dyDescent="0.3">
      <c r="B15" s="7" t="s">
        <v>16</v>
      </c>
      <c r="C15" s="8" t="s">
        <v>17</v>
      </c>
    </row>
    <row r="16" spans="2:3" x14ac:dyDescent="0.3">
      <c r="B16" s="7" t="s">
        <v>18</v>
      </c>
      <c r="C16" s="8" t="s">
        <v>19</v>
      </c>
    </row>
    <row r="18" spans="2:3" x14ac:dyDescent="0.3">
      <c r="B18" s="6" t="s">
        <v>20</v>
      </c>
    </row>
    <row r="19" spans="2:3" x14ac:dyDescent="0.3">
      <c r="B19" s="9" t="s">
        <v>21</v>
      </c>
      <c r="C19" s="10" t="s">
        <v>22</v>
      </c>
    </row>
    <row r="21" spans="2:3" x14ac:dyDescent="0.3">
      <c r="B21" s="6" t="s">
        <v>23</v>
      </c>
    </row>
    <row r="22" spans="2:3" x14ac:dyDescent="0.3">
      <c r="B22" s="11" t="s">
        <v>24</v>
      </c>
      <c r="C22" s="12" t="s">
        <v>25</v>
      </c>
    </row>
    <row r="23" spans="2:3" x14ac:dyDescent="0.3">
      <c r="B23" s="11" t="s">
        <v>26</v>
      </c>
      <c r="C23" s="13" t="s">
        <v>14</v>
      </c>
    </row>
    <row r="24" spans="2:3" x14ac:dyDescent="0.3">
      <c r="B24" s="11" t="s">
        <v>27</v>
      </c>
      <c r="C24" s="12" t="s">
        <v>28</v>
      </c>
    </row>
    <row r="25" spans="2:3" x14ac:dyDescent="0.3">
      <c r="B25" s="11" t="s">
        <v>29</v>
      </c>
      <c r="C25" s="12" t="s">
        <v>30</v>
      </c>
    </row>
    <row r="27" spans="2:3" x14ac:dyDescent="0.3">
      <c r="B27" s="14" t="s">
        <v>31</v>
      </c>
    </row>
    <row r="28" spans="2:3" x14ac:dyDescent="0.3">
      <c r="B28" s="45" t="s">
        <v>32</v>
      </c>
      <c r="C28" s="46"/>
    </row>
  </sheetData>
  <sheetProtection sheet="1"/>
  <mergeCells count="1">
    <mergeCell ref="B28:C28"/>
  </mergeCells>
  <hyperlinks>
    <hyperlink ref="B28" r:id="rId1" xr:uid="{00000000-0004-0000-0000-000000000000}"/>
  </hyperlink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5A66"/>
    <pageSetUpPr fitToPage="1"/>
  </sheetPr>
  <dimension ref="B2:G29"/>
  <sheetViews>
    <sheetView showGridLines="0" workbookViewId="0">
      <pane ySplit="9" topLeftCell="A10" activePane="bottomLeft" state="frozen"/>
      <selection pane="bottomLeft"/>
    </sheetView>
  </sheetViews>
  <sheetFormatPr baseColWidth="10" defaultColWidth="8.88671875" defaultRowHeight="14.4" x14ac:dyDescent="0.3"/>
  <cols>
    <col min="1" max="1" width="3" customWidth="1"/>
    <col min="2" max="2" width="5" customWidth="1"/>
    <col min="3" max="3" width="26" customWidth="1"/>
    <col min="4" max="4" width="62" customWidth="1"/>
    <col min="5" max="5" width="34" customWidth="1"/>
    <col min="6" max="6" width="9" customWidth="1"/>
    <col min="7" max="7" width="40" customWidth="1"/>
  </cols>
  <sheetData>
    <row r="2" spans="2:7" ht="21" x14ac:dyDescent="0.4">
      <c r="B2" s="16" t="s">
        <v>1</v>
      </c>
    </row>
    <row r="3" spans="2:7" x14ac:dyDescent="0.3">
      <c r="B3" s="11" t="s">
        <v>33</v>
      </c>
    </row>
    <row r="5" spans="2:7" x14ac:dyDescent="0.3">
      <c r="C5" s="17" t="s">
        <v>34</v>
      </c>
      <c r="D5" s="18"/>
    </row>
    <row r="6" spans="2:7" x14ac:dyDescent="0.3">
      <c r="C6" s="17" t="s">
        <v>35</v>
      </c>
      <c r="D6" s="18"/>
    </row>
    <row r="7" spans="2:7" x14ac:dyDescent="0.3">
      <c r="C7" s="17" t="s">
        <v>36</v>
      </c>
      <c r="D7" s="19"/>
    </row>
    <row r="9" spans="2:7" ht="22.05" customHeight="1" x14ac:dyDescent="0.3">
      <c r="B9" s="20" t="s">
        <v>37</v>
      </c>
      <c r="C9" s="21" t="s">
        <v>38</v>
      </c>
      <c r="D9" s="21" t="s">
        <v>24</v>
      </c>
      <c r="E9" s="21" t="s">
        <v>26</v>
      </c>
      <c r="F9" s="20" t="s">
        <v>27</v>
      </c>
      <c r="G9" s="21" t="s">
        <v>39</v>
      </c>
    </row>
    <row r="10" spans="2:7" ht="42" customHeight="1" x14ac:dyDescent="0.3">
      <c r="B10" s="22">
        <v>1</v>
      </c>
      <c r="C10" s="23" t="s">
        <v>40</v>
      </c>
      <c r="D10" s="23" t="s">
        <v>41</v>
      </c>
      <c r="E10" s="24"/>
      <c r="F10" s="25" t="str">
        <f>IF(E10="","",MATCH(E10,Listas!$A$1:$A$4,0)-1)</f>
        <v/>
      </c>
      <c r="G10" s="26"/>
    </row>
    <row r="11" spans="2:7" ht="42" customHeight="1" x14ac:dyDescent="0.3">
      <c r="B11" s="22">
        <v>2</v>
      </c>
      <c r="C11" s="23" t="s">
        <v>40</v>
      </c>
      <c r="D11" s="23" t="s">
        <v>42</v>
      </c>
      <c r="E11" s="24"/>
      <c r="F11" s="25" t="str">
        <f>IF(E11="","",MATCH(E11,Listas!$A$1:$A$4,0)-1)</f>
        <v/>
      </c>
      <c r="G11" s="26"/>
    </row>
    <row r="12" spans="2:7" ht="42" customHeight="1" x14ac:dyDescent="0.3">
      <c r="B12" s="22">
        <v>3</v>
      </c>
      <c r="C12" s="23" t="s">
        <v>40</v>
      </c>
      <c r="D12" s="23" t="s">
        <v>43</v>
      </c>
      <c r="E12" s="24"/>
      <c r="F12" s="25" t="str">
        <f>IF(E12="","",MATCH(E12,Listas!$A$1:$A$4,0)-1)</f>
        <v/>
      </c>
      <c r="G12" s="26"/>
    </row>
    <row r="13" spans="2:7" ht="42" customHeight="1" x14ac:dyDescent="0.3">
      <c r="B13" s="27">
        <v>4</v>
      </c>
      <c r="C13" s="28" t="s">
        <v>40</v>
      </c>
      <c r="D13" s="28" t="s">
        <v>44</v>
      </c>
      <c r="E13" s="29"/>
      <c r="F13" s="30" t="str">
        <f>IF(E13="","",MATCH(E13,Listas!$A$1:$A$4,0)-1)</f>
        <v/>
      </c>
      <c r="G13" s="31"/>
    </row>
    <row r="14" spans="2:7" ht="42" customHeight="1" x14ac:dyDescent="0.3">
      <c r="B14" s="22">
        <v>5</v>
      </c>
      <c r="C14" s="23" t="s">
        <v>45</v>
      </c>
      <c r="D14" s="23" t="s">
        <v>25</v>
      </c>
      <c r="E14" s="24"/>
      <c r="F14" s="25" t="str">
        <f>IF(E14="","",MATCH(E14,Listas!$A$1:$A$4,0)-1)</f>
        <v/>
      </c>
      <c r="G14" s="26"/>
    </row>
    <row r="15" spans="2:7" ht="42" customHeight="1" x14ac:dyDescent="0.3">
      <c r="B15" s="22">
        <v>6</v>
      </c>
      <c r="C15" s="23" t="s">
        <v>45</v>
      </c>
      <c r="D15" s="23" t="s">
        <v>46</v>
      </c>
      <c r="E15" s="24"/>
      <c r="F15" s="25" t="str">
        <f>IF(E15="","",MATCH(E15,Listas!$A$1:$A$4,0)-1)</f>
        <v/>
      </c>
      <c r="G15" s="26"/>
    </row>
    <row r="16" spans="2:7" ht="42" customHeight="1" x14ac:dyDescent="0.3">
      <c r="B16" s="22">
        <v>7</v>
      </c>
      <c r="C16" s="23" t="s">
        <v>45</v>
      </c>
      <c r="D16" s="23" t="s">
        <v>47</v>
      </c>
      <c r="E16" s="24"/>
      <c r="F16" s="25" t="str">
        <f>IF(E16="","",MATCH(E16,Listas!$A$1:$A$4,0)-1)</f>
        <v/>
      </c>
      <c r="G16" s="26"/>
    </row>
    <row r="17" spans="2:7" ht="42" customHeight="1" x14ac:dyDescent="0.3">
      <c r="B17" s="27">
        <v>8</v>
      </c>
      <c r="C17" s="28" t="s">
        <v>45</v>
      </c>
      <c r="D17" s="28" t="s">
        <v>48</v>
      </c>
      <c r="E17" s="29"/>
      <c r="F17" s="30" t="str">
        <f>IF(E17="","",MATCH(E17,Listas!$A$1:$A$4,0)-1)</f>
        <v/>
      </c>
      <c r="G17" s="31"/>
    </row>
    <row r="18" spans="2:7" ht="42" customHeight="1" x14ac:dyDescent="0.3">
      <c r="B18" s="22">
        <v>9</v>
      </c>
      <c r="C18" s="23" t="s">
        <v>49</v>
      </c>
      <c r="D18" s="23" t="s">
        <v>50</v>
      </c>
      <c r="E18" s="24"/>
      <c r="F18" s="25" t="str">
        <f>IF(E18="","",MATCH(E18,Listas!$A$1:$A$4,0)-1)</f>
        <v/>
      </c>
      <c r="G18" s="26"/>
    </row>
    <row r="19" spans="2:7" ht="42" customHeight="1" x14ac:dyDescent="0.3">
      <c r="B19" s="22">
        <v>10</v>
      </c>
      <c r="C19" s="23" t="s">
        <v>49</v>
      </c>
      <c r="D19" s="23" t="s">
        <v>51</v>
      </c>
      <c r="E19" s="24"/>
      <c r="F19" s="25" t="str">
        <f>IF(E19="","",MATCH(E19,Listas!$A$1:$A$4,0)-1)</f>
        <v/>
      </c>
      <c r="G19" s="26"/>
    </row>
    <row r="20" spans="2:7" ht="42" customHeight="1" x14ac:dyDescent="0.3">
      <c r="B20" s="22">
        <v>11</v>
      </c>
      <c r="C20" s="23" t="s">
        <v>49</v>
      </c>
      <c r="D20" s="23" t="s">
        <v>52</v>
      </c>
      <c r="E20" s="24"/>
      <c r="F20" s="25" t="str">
        <f>IF(E20="","",MATCH(E20,Listas!$A$1:$A$4,0)-1)</f>
        <v/>
      </c>
      <c r="G20" s="26"/>
    </row>
    <row r="21" spans="2:7" ht="42" customHeight="1" x14ac:dyDescent="0.3">
      <c r="B21" s="27">
        <v>12</v>
      </c>
      <c r="C21" s="28" t="s">
        <v>49</v>
      </c>
      <c r="D21" s="28" t="s">
        <v>53</v>
      </c>
      <c r="E21" s="29"/>
      <c r="F21" s="30" t="str">
        <f>IF(E21="","",MATCH(E21,Listas!$A$1:$A$4,0)-1)</f>
        <v/>
      </c>
      <c r="G21" s="31"/>
    </row>
    <row r="22" spans="2:7" ht="42" customHeight="1" x14ac:dyDescent="0.3">
      <c r="B22" s="22">
        <v>13</v>
      </c>
      <c r="C22" s="23" t="s">
        <v>54</v>
      </c>
      <c r="D22" s="23" t="s">
        <v>55</v>
      </c>
      <c r="E22" s="24"/>
      <c r="F22" s="25" t="str">
        <f>IF(E22="","",MATCH(E22,Listas!$A$1:$A$4,0)-1)</f>
        <v/>
      </c>
      <c r="G22" s="26"/>
    </row>
    <row r="23" spans="2:7" ht="42" customHeight="1" x14ac:dyDescent="0.3">
      <c r="B23" s="22">
        <v>14</v>
      </c>
      <c r="C23" s="23" t="s">
        <v>54</v>
      </c>
      <c r="D23" s="23" t="s">
        <v>56</v>
      </c>
      <c r="E23" s="24"/>
      <c r="F23" s="25" t="str">
        <f>IF(E23="","",MATCH(E23,Listas!$A$1:$A$4,0)-1)</f>
        <v/>
      </c>
      <c r="G23" s="26"/>
    </row>
    <row r="24" spans="2:7" ht="42" customHeight="1" x14ac:dyDescent="0.3">
      <c r="B24" s="22">
        <v>15</v>
      </c>
      <c r="C24" s="23" t="s">
        <v>54</v>
      </c>
      <c r="D24" s="23" t="s">
        <v>57</v>
      </c>
      <c r="E24" s="24"/>
      <c r="F24" s="25" t="str">
        <f>IF(E24="","",MATCH(E24,Listas!$A$1:$A$4,0)-1)</f>
        <v/>
      </c>
      <c r="G24" s="26"/>
    </row>
    <row r="25" spans="2:7" ht="42" customHeight="1" x14ac:dyDescent="0.3">
      <c r="B25" s="27">
        <v>16</v>
      </c>
      <c r="C25" s="28" t="s">
        <v>54</v>
      </c>
      <c r="D25" s="28" t="s">
        <v>58</v>
      </c>
      <c r="E25" s="29"/>
      <c r="F25" s="30" t="str">
        <f>IF(E25="","",MATCH(E25,Listas!$A$1:$A$4,0)-1)</f>
        <v/>
      </c>
      <c r="G25" s="31"/>
    </row>
    <row r="26" spans="2:7" ht="42" customHeight="1" x14ac:dyDescent="0.3">
      <c r="B26" s="22">
        <v>17</v>
      </c>
      <c r="C26" s="23" t="s">
        <v>59</v>
      </c>
      <c r="D26" s="23" t="s">
        <v>60</v>
      </c>
      <c r="E26" s="24"/>
      <c r="F26" s="25" t="str">
        <f>IF(E26="","",MATCH(E26,Listas!$A$1:$A$4,0)-1)</f>
        <v/>
      </c>
      <c r="G26" s="26"/>
    </row>
    <row r="27" spans="2:7" ht="42" customHeight="1" x14ac:dyDescent="0.3">
      <c r="B27" s="22">
        <v>18</v>
      </c>
      <c r="C27" s="23" t="s">
        <v>59</v>
      </c>
      <c r="D27" s="23" t="s">
        <v>61</v>
      </c>
      <c r="E27" s="24"/>
      <c r="F27" s="25" t="str">
        <f>IF(E27="","",MATCH(E27,Listas!$A$1:$A$4,0)-1)</f>
        <v/>
      </c>
      <c r="G27" s="26"/>
    </row>
    <row r="28" spans="2:7" ht="42" customHeight="1" x14ac:dyDescent="0.3">
      <c r="B28" s="22">
        <v>19</v>
      </c>
      <c r="C28" s="23" t="s">
        <v>59</v>
      </c>
      <c r="D28" s="23" t="s">
        <v>62</v>
      </c>
      <c r="E28" s="24"/>
      <c r="F28" s="25" t="str">
        <f>IF(E28="","",MATCH(E28,Listas!$A$1:$A$4,0)-1)</f>
        <v/>
      </c>
      <c r="G28" s="26"/>
    </row>
    <row r="29" spans="2:7" ht="42" customHeight="1" x14ac:dyDescent="0.3">
      <c r="B29" s="27">
        <v>20</v>
      </c>
      <c r="C29" s="28" t="s">
        <v>59</v>
      </c>
      <c r="D29" s="28" t="s">
        <v>63</v>
      </c>
      <c r="E29" s="29"/>
      <c r="F29" s="30" t="str">
        <f>IF(E29="","",MATCH(E29,Listas!$A$1:$A$4,0)-1)</f>
        <v/>
      </c>
      <c r="G29" s="31"/>
    </row>
  </sheetData>
  <sheetProtection sheet="1" formatColumns="0" formatRows="0"/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Respuesta no válida" error="Elige una de las cuatro opciones de la lista." promptTitle="Respuesta" prompt="Elige la opción que mejor describe a tu empresa hoy." xr:uid="{00000000-0002-0000-0100-000000000000}">
          <x14:formula1>
            <xm:f>Listas!$A$1:$A$4</xm:f>
          </x14:formula1>
          <xm:sqref>E10 E11 E12 E13 E14 E15 E16 E17 E18 E19 E20 E21 E22 E23 E24 E25 E26 E27 E28 E29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1C1F"/>
    <pageSetUpPr fitToPage="1"/>
  </sheetPr>
  <dimension ref="B2:I31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30" customWidth="1"/>
    <col min="3" max="4" width="12" customWidth="1"/>
    <col min="5" max="6" width="14" customWidth="1"/>
    <col min="7" max="7" width="18" customWidth="1"/>
    <col min="8" max="8" width="9" customWidth="1"/>
    <col min="9" max="9" width="62" customWidth="1"/>
  </cols>
  <sheetData>
    <row r="2" spans="2:9" ht="21" x14ac:dyDescent="0.4">
      <c r="B2" s="16" t="s">
        <v>64</v>
      </c>
    </row>
    <row r="3" spans="2:9" x14ac:dyDescent="0.3">
      <c r="B3" s="11" t="str">
        <f>"Empresa: "&amp;IF(Test!$D$5="","(sin nombre)",Test!$D$5)</f>
        <v>Empresa: (sin nombre)</v>
      </c>
    </row>
    <row r="5" spans="2:9" x14ac:dyDescent="0.3">
      <c r="B5" s="17" t="s">
        <v>65</v>
      </c>
    </row>
    <row r="6" spans="2:9" x14ac:dyDescent="0.3">
      <c r="B6" s="10" t="s">
        <v>66</v>
      </c>
      <c r="C6" s="32">
        <v>0.8</v>
      </c>
      <c r="D6" s="1" t="s">
        <v>67</v>
      </c>
    </row>
    <row r="7" spans="2:9" x14ac:dyDescent="0.3">
      <c r="B7" s="10" t="s">
        <v>68</v>
      </c>
      <c r="C7" s="32">
        <v>0.5</v>
      </c>
      <c r="D7" s="1" t="s">
        <v>69</v>
      </c>
    </row>
    <row r="9" spans="2:9" ht="15.6" x14ac:dyDescent="0.3">
      <c r="B9" s="10" t="s">
        <v>70</v>
      </c>
      <c r="C9" s="33">
        <f>COUNTA(Test!$E$10:$E$29)</f>
        <v>0</v>
      </c>
      <c r="D9" s="11" t="str">
        <f>"de "&amp;ROWS(Test!$E$10:$E$29)</f>
        <v>de 20</v>
      </c>
    </row>
    <row r="10" spans="2:9" ht="15.6" x14ac:dyDescent="0.3">
      <c r="B10" s="10" t="s">
        <v>71</v>
      </c>
      <c r="C10" s="33">
        <f>SUM(Test!$F$10:$F$29)</f>
        <v>0</v>
      </c>
      <c r="D10" s="11" t="str">
        <f>"de "&amp;ROWS(Test!$E$10:$E$29)*3</f>
        <v>de 60</v>
      </c>
    </row>
    <row r="11" spans="2:9" ht="15.6" x14ac:dyDescent="0.3">
      <c r="B11" s="10" t="s">
        <v>72</v>
      </c>
      <c r="C11" s="34" t="str">
        <f>IF(C9=0,"",C10/(ROWS(Test!$E$10:$E$29)*3))</f>
        <v/>
      </c>
      <c r="D11" s="11"/>
    </row>
    <row r="13" spans="2:9" ht="24" customHeight="1" x14ac:dyDescent="0.3">
      <c r="B13" s="35" t="s">
        <v>73</v>
      </c>
      <c r="C13" s="48" t="str">
        <f>IF(C9&lt;ROWS(Test!$E$10:$E$29),"Responde las "&amp;ROWS(Test!$E$10:$E$29)&amp;" preguntas para ver el veredicto (faltan "&amp;(ROWS(Test!$E$10:$E$29)-C9)&amp;").",IF(C11&gt;=$C$6,"Tu operación está definida: un sistema va a multiplicar lo que ya funciona. Puedes evaluar proveedores con confianza.",IF(C11&gt;=$C$7,"Zona intermedia: tienes una base, pero hay vacíos que un sistema va a exponer de golpe. Ciérralos antes de implementar.","Todavía no: comprar software ahora es la forma más cara de descubrir cómo opera tu empresa. Lo que corresponde es ordenar primero.")))</f>
        <v>Responde las 20 preguntas para ver el veredicto (faltan 20).</v>
      </c>
      <c r="D13" s="46"/>
      <c r="E13" s="46"/>
      <c r="F13" s="46"/>
      <c r="G13" s="46"/>
      <c r="H13" s="46"/>
      <c r="I13" s="46"/>
    </row>
    <row r="14" spans="2:9" ht="24" customHeight="1" x14ac:dyDescent="0.3">
      <c r="C14" s="46"/>
      <c r="D14" s="46"/>
      <c r="E14" s="46"/>
      <c r="F14" s="46"/>
      <c r="G14" s="46"/>
      <c r="H14" s="46"/>
      <c r="I14" s="46"/>
    </row>
    <row r="16" spans="2:9" ht="22.05" customHeight="1" x14ac:dyDescent="0.3">
      <c r="B16" s="36" t="s">
        <v>38</v>
      </c>
      <c r="C16" s="37" t="s">
        <v>27</v>
      </c>
      <c r="D16" s="37" t="s">
        <v>74</v>
      </c>
      <c r="E16" s="37" t="s">
        <v>75</v>
      </c>
      <c r="F16" s="37" t="s">
        <v>76</v>
      </c>
      <c r="G16" s="37" t="s">
        <v>77</v>
      </c>
      <c r="H16" s="37" t="s">
        <v>78</v>
      </c>
      <c r="I16" s="36" t="s">
        <v>79</v>
      </c>
    </row>
    <row r="17" spans="2:9" ht="34.049999999999997" customHeight="1" x14ac:dyDescent="0.3">
      <c r="B17" s="38" t="s">
        <v>40</v>
      </c>
      <c r="C17" s="39">
        <f>SUMIFS(Test!$F$10:$F$29,Test!$C$10:$C$29,$B17)</f>
        <v>0</v>
      </c>
      <c r="D17" s="39">
        <f>COUNTIF(Test!$C$10:$C$29,$B17)*3</f>
        <v>12</v>
      </c>
      <c r="E17" s="40">
        <f>IF(D17=0,0,C17/D17)</f>
        <v>0</v>
      </c>
      <c r="F17" s="39" t="str">
        <f>COUNTIFS(Test!$C$10:$C$29,$B17,Test!$E$10:$E$29,"?*")&amp;" de "&amp;COUNTIF(Test!$C$10:$C$29,$B17)</f>
        <v>0 de 4</v>
      </c>
      <c r="G17" s="41" t="str">
        <f>IF(COUNTIFS(Test!$C$10:$C$29,$B17,Test!$E$10:$E$29,"?*")&lt;COUNTIF(Test!$C$10:$C$29,$B17),"Incompleta",IF(E17&gt;=$C$6,"Sólida",IF(E17&gt;=$C$7,"Intermedia","Débil")))</f>
        <v>Incompleta</v>
      </c>
      <c r="H17" s="39">
        <f>RANK(E17,$E$17:$E$21,1)+COUNTIF($E$17:E17,E17)-1</f>
        <v>1</v>
      </c>
      <c r="I17" s="38" t="s">
        <v>80</v>
      </c>
    </row>
    <row r="18" spans="2:9" ht="34.049999999999997" customHeight="1" x14ac:dyDescent="0.3">
      <c r="B18" s="38" t="s">
        <v>45</v>
      </c>
      <c r="C18" s="39">
        <f>SUMIFS(Test!$F$10:$F$29,Test!$C$10:$C$29,$B18)</f>
        <v>0</v>
      </c>
      <c r="D18" s="39">
        <f>COUNTIF(Test!$C$10:$C$29,$B18)*3</f>
        <v>12</v>
      </c>
      <c r="E18" s="40">
        <f>IF(D18=0,0,C18/D18)</f>
        <v>0</v>
      </c>
      <c r="F18" s="39" t="str">
        <f>COUNTIFS(Test!$C$10:$C$29,$B18,Test!$E$10:$E$29,"?*")&amp;" de "&amp;COUNTIF(Test!$C$10:$C$29,$B18)</f>
        <v>0 de 4</v>
      </c>
      <c r="G18" s="41" t="str">
        <f>IF(COUNTIFS(Test!$C$10:$C$29,$B18,Test!$E$10:$E$29,"?*")&lt;COUNTIF(Test!$C$10:$C$29,$B18),"Incompleta",IF(E18&gt;=$C$6,"Sólida",IF(E18&gt;=$C$7,"Intermedia","Débil")))</f>
        <v>Incompleta</v>
      </c>
      <c r="H18" s="39">
        <f>RANK(E18,$E$17:$E$21,1)+COUNTIF($E$17:E18,E18)-1</f>
        <v>2</v>
      </c>
      <c r="I18" s="38" t="s">
        <v>81</v>
      </c>
    </row>
    <row r="19" spans="2:9" ht="34.049999999999997" customHeight="1" x14ac:dyDescent="0.3">
      <c r="B19" s="38" t="s">
        <v>49</v>
      </c>
      <c r="C19" s="39">
        <f>SUMIFS(Test!$F$10:$F$29,Test!$C$10:$C$29,$B19)</f>
        <v>0</v>
      </c>
      <c r="D19" s="39">
        <f>COUNTIF(Test!$C$10:$C$29,$B19)*3</f>
        <v>12</v>
      </c>
      <c r="E19" s="40">
        <f>IF(D19=0,0,C19/D19)</f>
        <v>0</v>
      </c>
      <c r="F19" s="39" t="str">
        <f>COUNTIFS(Test!$C$10:$C$29,$B19,Test!$E$10:$E$29,"?*")&amp;" de "&amp;COUNTIF(Test!$C$10:$C$29,$B19)</f>
        <v>0 de 4</v>
      </c>
      <c r="G19" s="41" t="str">
        <f>IF(COUNTIFS(Test!$C$10:$C$29,$B19,Test!$E$10:$E$29,"?*")&lt;COUNTIF(Test!$C$10:$C$29,$B19),"Incompleta",IF(E19&gt;=$C$6,"Sólida",IF(E19&gt;=$C$7,"Intermedia","Débil")))</f>
        <v>Incompleta</v>
      </c>
      <c r="H19" s="39">
        <f>RANK(E19,$E$17:$E$21,1)+COUNTIF($E$17:E19,E19)-1</f>
        <v>3</v>
      </c>
      <c r="I19" s="38" t="s">
        <v>82</v>
      </c>
    </row>
    <row r="20" spans="2:9" ht="34.049999999999997" customHeight="1" x14ac:dyDescent="0.3">
      <c r="B20" s="38" t="s">
        <v>54</v>
      </c>
      <c r="C20" s="39">
        <f>SUMIFS(Test!$F$10:$F$29,Test!$C$10:$C$29,$B20)</f>
        <v>0</v>
      </c>
      <c r="D20" s="39">
        <f>COUNTIF(Test!$C$10:$C$29,$B20)*3</f>
        <v>12</v>
      </c>
      <c r="E20" s="40">
        <f>IF(D20=0,0,C20/D20)</f>
        <v>0</v>
      </c>
      <c r="F20" s="39" t="str">
        <f>COUNTIFS(Test!$C$10:$C$29,$B20,Test!$E$10:$E$29,"?*")&amp;" de "&amp;COUNTIF(Test!$C$10:$C$29,$B20)</f>
        <v>0 de 4</v>
      </c>
      <c r="G20" s="41" t="str">
        <f>IF(COUNTIFS(Test!$C$10:$C$29,$B20,Test!$E$10:$E$29,"?*")&lt;COUNTIF(Test!$C$10:$C$29,$B20),"Incompleta",IF(E20&gt;=$C$6,"Sólida",IF(E20&gt;=$C$7,"Intermedia","Débil")))</f>
        <v>Incompleta</v>
      </c>
      <c r="H20" s="39">
        <f>RANK(E20,$E$17:$E$21,1)+COUNTIF($E$17:E20,E20)-1</f>
        <v>4</v>
      </c>
      <c r="I20" s="38" t="s">
        <v>83</v>
      </c>
    </row>
    <row r="21" spans="2:9" ht="34.049999999999997" customHeight="1" x14ac:dyDescent="0.3">
      <c r="B21" s="38" t="s">
        <v>59</v>
      </c>
      <c r="C21" s="39">
        <f>SUMIFS(Test!$F$10:$F$29,Test!$C$10:$C$29,$B21)</f>
        <v>0</v>
      </c>
      <c r="D21" s="39">
        <f>COUNTIF(Test!$C$10:$C$29,$B21)*3</f>
        <v>12</v>
      </c>
      <c r="E21" s="40">
        <f>IF(D21=0,0,C21/D21)</f>
        <v>0</v>
      </c>
      <c r="F21" s="39" t="str">
        <f>COUNTIFS(Test!$C$10:$C$29,$B21,Test!$E$10:$E$29,"?*")&amp;" de "&amp;COUNTIF(Test!$C$10:$C$29,$B21)</f>
        <v>0 de 4</v>
      </c>
      <c r="G21" s="41" t="str">
        <f>IF(COUNTIFS(Test!$C$10:$C$29,$B21,Test!$E$10:$E$29,"?*")&lt;COUNTIF(Test!$C$10:$C$29,$B21),"Incompleta",IF(E21&gt;=$C$6,"Sólida",IF(E21&gt;=$C$7,"Intermedia","Débil")))</f>
        <v>Incompleta</v>
      </c>
      <c r="H21" s="39">
        <f>RANK(E21,$E$17:$E$21,1)+COUNTIF($E$17:E21,E21)-1</f>
        <v>5</v>
      </c>
      <c r="I21" s="38" t="s">
        <v>84</v>
      </c>
    </row>
    <row r="24" spans="2:9" ht="15.6" x14ac:dyDescent="0.3">
      <c r="B24" s="42" t="s">
        <v>85</v>
      </c>
    </row>
    <row r="25" spans="2:9" ht="30" customHeight="1" x14ac:dyDescent="0.3">
      <c r="B25" s="43" t="str">
        <f>IF($C$9=0,"",IF(INDEX($G$17:$G$21,MATCH(1,$H$17:$H$21,0))="Sólida","Todas tus áreas están sólidas.",1&amp;". "&amp;INDEX($B$17:$B$21,MATCH(1,$H$17:$H$21,0))))</f>
        <v/>
      </c>
      <c r="C25" s="47" t="str">
        <f>IF($C$9=0,"",IF(INDEX($G$17:$G$21,MATCH(1,$H$17:$H$21,0))="Sólida","Mantén lo que ya funciona y repite el test cada seis meses.",INDEX($I$17:$I$21,MATCH(1,$H$17:$H$21,0))))</f>
        <v/>
      </c>
      <c r="D25" s="46"/>
      <c r="E25" s="46"/>
      <c r="F25" s="46"/>
      <c r="G25" s="46"/>
      <c r="H25" s="46"/>
      <c r="I25" s="46"/>
    </row>
    <row r="26" spans="2:9" ht="30" customHeight="1" x14ac:dyDescent="0.3">
      <c r="B26" s="43" t="str">
        <f>IF($C$9=0,"",IF(INDEX($G$17:$G$21,MATCH(2,$H$17:$H$21,0))="Sólida","",2&amp;". "&amp;INDEX($B$17:$B$21,MATCH(2,$H$17:$H$21,0))))</f>
        <v/>
      </c>
      <c r="C26" s="47" t="str">
        <f>IF($C$9=0,"",IF(INDEX($G$17:$G$21,MATCH(2,$H$17:$H$21,0))="Sólida","",INDEX($I$17:$I$21,MATCH(2,$H$17:$H$21,0))))</f>
        <v/>
      </c>
      <c r="D26" s="46"/>
      <c r="E26" s="46"/>
      <c r="F26" s="46"/>
      <c r="G26" s="46"/>
      <c r="H26" s="46"/>
      <c r="I26" s="46"/>
    </row>
    <row r="28" spans="2:9" x14ac:dyDescent="0.3">
      <c r="B28" s="6" t="s">
        <v>86</v>
      </c>
    </row>
    <row r="29" spans="2:9" x14ac:dyDescent="0.3">
      <c r="B29" s="15" t="s">
        <v>87</v>
      </c>
    </row>
    <row r="31" spans="2:9" ht="15.6" x14ac:dyDescent="0.3">
      <c r="B31" s="44" t="s">
        <v>88</v>
      </c>
    </row>
  </sheetData>
  <sheetProtection sheet="1"/>
  <mergeCells count="3">
    <mergeCell ref="C26:I26"/>
    <mergeCell ref="C25:I25"/>
    <mergeCell ref="C13:I14"/>
  </mergeCells>
  <conditionalFormatting sqref="G17:G21">
    <cfRule type="expression" dxfId="2" priority="1">
      <formula>G17="Sólida"</formula>
    </cfRule>
    <cfRule type="expression" dxfId="1" priority="2">
      <formula>G17="Intermedia"</formula>
    </cfRule>
    <cfRule type="expression" dxfId="0" priority="3">
      <formula>G17="Débil"</formula>
    </cfRule>
  </conditionalFormatting>
  <hyperlinks>
    <hyperlink ref="B29" r:id="rId1" xr:uid="{00000000-0004-0000-0200-000000000000}"/>
  </hyperlinks>
  <pageMargins left="0.75" right="0.75" top="1" bottom="1" header="0.5" footer="0.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s="10" t="s">
        <v>12</v>
      </c>
    </row>
    <row r="2" spans="1:1" x14ac:dyDescent="0.3">
      <c r="A2" s="10" t="s">
        <v>14</v>
      </c>
    </row>
    <row r="3" spans="1:1" x14ac:dyDescent="0.3">
      <c r="A3" s="10" t="s">
        <v>16</v>
      </c>
    </row>
    <row r="4" spans="1:1" x14ac:dyDescent="0.3">
      <c r="A4" s="1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Cómo usar</vt:lpstr>
      <vt:lpstr>Test</vt:lpstr>
      <vt:lpstr>Resultado</vt:lpstr>
      <vt:lpstr>Listas</vt:lpstr>
      <vt:lpstr>Test!Títulos_a_imprimir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de madurez operativa</dc:title>
  <dc:creator>Procesos Claros</dc:creator>
  <cp:lastModifiedBy>Jorge Rivera</cp:lastModifiedBy>
  <dcterms:created xsi:type="dcterms:W3CDTF">2026-10-10T12:58:49Z</dcterms:created>
  <dcterms:modified xsi:type="dcterms:W3CDTF">2026-10-10T12:58:54Z</dcterms:modified>
</cp:coreProperties>
</file>